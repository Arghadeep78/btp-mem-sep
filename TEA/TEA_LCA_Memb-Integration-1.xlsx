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xr:revisionPtr revIDLastSave="0" documentId="13_ncr:1_{2EAD4F70-E70D-4677-B380-DE1974E373A4}" xr6:coauthVersionLast="47" xr6:coauthVersionMax="47" xr10:uidLastSave="{00000000-0000-0000-0000-000000000000}"/>
  <bookViews>
    <workbookView xWindow="1560" yWindow="1560" windowWidth="21600" windowHeight="11295" xr2:uid="{00000000-000D-0000-FFFF-FFFF00000000}"/>
  </bookViews>
  <sheets>
    <sheet name="README" sheetId="1" r:id="rId1"/>
    <sheet name="Summary" sheetId="2" r:id="rId2"/>
    <sheet name="Process_Data" sheetId="3" r:id="rId3"/>
    <sheet name="Assumptions" sheetId="4" r:id="rId4"/>
    <sheet name="CAPEX" sheetId="5" r:id="rId5"/>
    <sheet name="OPEX" sheetId="6" r:id="rId6"/>
    <sheet name="DCF" sheetId="7" r:id="rId7"/>
    <sheet name="LCA"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 i="7" l="1"/>
  <c r="X9" i="7"/>
  <c r="W9" i="7"/>
  <c r="V9" i="7"/>
  <c r="U9" i="7"/>
  <c r="T9" i="7"/>
  <c r="S9" i="7"/>
  <c r="R9" i="7"/>
  <c r="Q9" i="7"/>
  <c r="P9" i="7"/>
  <c r="O9" i="7"/>
  <c r="N9" i="7"/>
  <c r="M9" i="7"/>
  <c r="L9" i="7"/>
  <c r="K9" i="7"/>
  <c r="J9" i="7"/>
  <c r="I9" i="7"/>
  <c r="H9" i="7"/>
  <c r="G9" i="7"/>
  <c r="F9" i="7"/>
  <c r="E9" i="7"/>
  <c r="D9" i="7"/>
  <c r="C9" i="7"/>
  <c r="B9" i="7"/>
  <c r="S8" i="7"/>
  <c r="R8" i="7"/>
  <c r="D7" i="7"/>
  <c r="C7" i="7"/>
  <c r="B7" i="7"/>
  <c r="X6" i="7"/>
  <c r="W6" i="7"/>
  <c r="V6" i="7"/>
  <c r="V8" i="7" s="1"/>
  <c r="U6" i="7"/>
  <c r="U8" i="7" s="1"/>
  <c r="T6" i="7"/>
  <c r="T8" i="7" s="1"/>
  <c r="S6" i="7"/>
  <c r="R6" i="7"/>
  <c r="Q6" i="7"/>
  <c r="P6" i="7"/>
  <c r="P8" i="7" s="1"/>
  <c r="O6" i="7"/>
  <c r="O8" i="7" s="1"/>
  <c r="N6" i="7"/>
  <c r="N8" i="7" s="1"/>
  <c r="M6" i="7"/>
  <c r="L6" i="7"/>
  <c r="K6" i="7"/>
  <c r="J6" i="7"/>
  <c r="J8" i="7" s="1"/>
  <c r="I6" i="7"/>
  <c r="I8" i="7" s="1"/>
  <c r="H6" i="7"/>
  <c r="H8" i="7" s="1"/>
  <c r="G6" i="7"/>
  <c r="G8" i="7" s="1"/>
  <c r="F6" i="7"/>
  <c r="F8" i="7" s="1"/>
  <c r="E6" i="7"/>
  <c r="D6" i="7"/>
  <c r="D8" i="7" s="1"/>
  <c r="C6" i="7"/>
  <c r="C11" i="7" s="1"/>
  <c r="B6" i="7"/>
  <c r="B8" i="7" s="1"/>
  <c r="B18" i="6"/>
  <c r="D18" i="6" s="1"/>
  <c r="B15" i="6"/>
  <c r="D15" i="6" s="1"/>
  <c r="B14" i="6"/>
  <c r="D14" i="6" s="1"/>
  <c r="B4" i="6"/>
  <c r="B13" i="6" s="1"/>
  <c r="D13" i="6" s="1"/>
  <c r="F12" i="5"/>
  <c r="E12" i="5"/>
  <c r="E11" i="5"/>
  <c r="F10" i="5"/>
  <c r="E10" i="5"/>
  <c r="F8" i="5"/>
  <c r="E8" i="5"/>
  <c r="F7" i="5"/>
  <c r="E7" i="5"/>
  <c r="B34" i="4"/>
  <c r="B36" i="3"/>
  <c r="B32" i="3"/>
  <c r="B8" i="6" s="1"/>
  <c r="D8" i="6" s="1"/>
  <c r="B21" i="3"/>
  <c r="B27" i="6" s="1"/>
  <c r="B17" i="8" s="1"/>
  <c r="B18" i="8" s="1"/>
  <c r="B19" i="3"/>
  <c r="B30" i="6" s="1"/>
  <c r="B10" i="3"/>
  <c r="B9" i="3"/>
  <c r="E6" i="5" s="1"/>
  <c r="B13" i="2"/>
  <c r="B12" i="7" l="1"/>
  <c r="B15" i="7"/>
  <c r="B9" i="6"/>
  <c r="D9" i="6" s="1"/>
  <c r="C15" i="7"/>
  <c r="C12" i="7"/>
  <c r="D15" i="7"/>
  <c r="B17" i="7"/>
  <c r="B18" i="7" s="1"/>
  <c r="B21" i="7" s="1"/>
  <c r="B28" i="6"/>
  <c r="D28" i="6" s="1"/>
  <c r="C17" i="7"/>
  <c r="C18" i="7" s="1"/>
  <c r="C21" i="7" s="1"/>
  <c r="D17" i="7"/>
  <c r="D18" i="7" s="1"/>
  <c r="D21" i="7" s="1"/>
  <c r="D27" i="6"/>
  <c r="D29" i="6" s="1"/>
  <c r="F6" i="5"/>
  <c r="B7" i="6"/>
  <c r="D7" i="6" s="1"/>
  <c r="B13" i="7"/>
  <c r="C8" i="7"/>
  <c r="D13" i="7"/>
  <c r="B14" i="7"/>
  <c r="B25" i="8"/>
  <c r="B6" i="6"/>
  <c r="C13" i="7"/>
  <c r="B6" i="2"/>
  <c r="C14" i="7"/>
  <c r="B26" i="8"/>
  <c r="D14" i="7"/>
  <c r="B28" i="8"/>
  <c r="D21" i="6"/>
  <c r="B23" i="2"/>
  <c r="B6" i="8"/>
  <c r="B7" i="8" s="1"/>
  <c r="N17" i="7"/>
  <c r="N18" i="7" s="1"/>
  <c r="N21" i="7" s="1"/>
  <c r="B5" i="2"/>
  <c r="S17" i="7"/>
  <c r="S18" i="7" s="1"/>
  <c r="S21" i="7" s="1"/>
  <c r="G17" i="7"/>
  <c r="G18" i="7" s="1"/>
  <c r="G21" i="7" s="1"/>
  <c r="R17" i="7"/>
  <c r="R18" i="7" s="1"/>
  <c r="R21" i="7" s="1"/>
  <c r="P17" i="7"/>
  <c r="P18" i="7" s="1"/>
  <c r="P21" i="7" s="1"/>
  <c r="O17" i="7"/>
  <c r="O18" i="7" s="1"/>
  <c r="O21" i="7" s="1"/>
  <c r="F17" i="7"/>
  <c r="F18" i="7" s="1"/>
  <c r="F21" i="7" s="1"/>
  <c r="L8" i="7"/>
  <c r="X8" i="7"/>
  <c r="X17" i="7" s="1"/>
  <c r="X18" i="7" s="1"/>
  <c r="X21" i="7" s="1"/>
  <c r="E9" i="5"/>
  <c r="F5" i="5"/>
  <c r="E5" i="5"/>
  <c r="F9" i="5"/>
  <c r="F16" i="5"/>
  <c r="Q8" i="7"/>
  <c r="Q17" i="7" s="1"/>
  <c r="Q18" i="7" s="1"/>
  <c r="Q21" i="7" s="1"/>
  <c r="K8" i="7"/>
  <c r="K17" i="7" s="1"/>
  <c r="K18" i="7" s="1"/>
  <c r="K21" i="7" s="1"/>
  <c r="E8" i="7"/>
  <c r="E17" i="7" s="1"/>
  <c r="E18" i="7" s="1"/>
  <c r="E21" i="7" s="1"/>
  <c r="E12" i="7"/>
  <c r="H17" i="7"/>
  <c r="H18" i="7" s="1"/>
  <c r="H21" i="7" s="1"/>
  <c r="T17" i="7"/>
  <c r="T18" i="7" s="1"/>
  <c r="T21" i="7" s="1"/>
  <c r="W8" i="7"/>
  <c r="W17" i="7" s="1"/>
  <c r="W18" i="7" s="1"/>
  <c r="W21" i="7" s="1"/>
  <c r="I17" i="7"/>
  <c r="I18" i="7" s="1"/>
  <c r="I21" i="7" s="1"/>
  <c r="U17" i="7"/>
  <c r="U18" i="7" s="1"/>
  <c r="U21" i="7" s="1"/>
  <c r="J17" i="7"/>
  <c r="J18" i="7" s="1"/>
  <c r="J21" i="7" s="1"/>
  <c r="V17" i="7"/>
  <c r="V18" i="7" s="1"/>
  <c r="V21" i="7" s="1"/>
  <c r="B12" i="6"/>
  <c r="D12" i="6" s="1"/>
  <c r="D16" i="6" s="1"/>
  <c r="Q12" i="7" s="1"/>
  <c r="D12" i="7"/>
  <c r="M8" i="7"/>
  <c r="D11" i="7"/>
  <c r="F14" i="5" l="1"/>
  <c r="C16" i="7"/>
  <c r="C19" i="7" s="1"/>
  <c r="B16" i="7"/>
  <c r="B19" i="7" s="1"/>
  <c r="D16" i="7"/>
  <c r="D19" i="7" s="1"/>
  <c r="J15" i="7"/>
  <c r="I15" i="7"/>
  <c r="U15" i="7"/>
  <c r="K15" i="7"/>
  <c r="R15" i="7"/>
  <c r="H15" i="7"/>
  <c r="G15" i="7"/>
  <c r="B11" i="2"/>
  <c r="B27" i="2" s="1"/>
  <c r="S15" i="7"/>
  <c r="V15" i="7"/>
  <c r="F15" i="7"/>
  <c r="P15" i="7"/>
  <c r="O15" i="7"/>
  <c r="N15" i="7"/>
  <c r="T15" i="7"/>
  <c r="Q15" i="7"/>
  <c r="W12" i="7"/>
  <c r="H12" i="7"/>
  <c r="B10" i="8"/>
  <c r="B16" i="8" s="1"/>
  <c r="V12" i="7"/>
  <c r="M15" i="7"/>
  <c r="D6" i="6"/>
  <c r="D10" i="6" s="1"/>
  <c r="O11" i="7" s="1"/>
  <c r="B8" i="8"/>
  <c r="L17" i="7"/>
  <c r="L18" i="7" s="1"/>
  <c r="L21" i="7" s="1"/>
  <c r="X12" i="7"/>
  <c r="X15" i="7"/>
  <c r="L15" i="7"/>
  <c r="F15" i="5"/>
  <c r="F19" i="5" s="1"/>
  <c r="B7" i="2"/>
  <c r="J12" i="7"/>
  <c r="P12" i="7"/>
  <c r="L12" i="7"/>
  <c r="R12" i="7"/>
  <c r="E15" i="7"/>
  <c r="W15" i="7"/>
  <c r="U12" i="7"/>
  <c r="F12" i="7"/>
  <c r="F17" i="5"/>
  <c r="F18" i="5"/>
  <c r="B8" i="2"/>
  <c r="O12" i="7"/>
  <c r="N12" i="7"/>
  <c r="M12" i="7"/>
  <c r="B22" i="2"/>
  <c r="S12" i="7"/>
  <c r="G12" i="7"/>
  <c r="M17" i="7"/>
  <c r="M18" i="7" s="1"/>
  <c r="M21" i="7" s="1"/>
  <c r="B25" i="7" s="1"/>
  <c r="K12" i="7"/>
  <c r="I12" i="7"/>
  <c r="T12" i="7"/>
  <c r="M11" i="7" l="1"/>
  <c r="K11" i="7"/>
  <c r="L11" i="7"/>
  <c r="P11" i="7"/>
  <c r="V11" i="7"/>
  <c r="H11" i="7"/>
  <c r="T11" i="7"/>
  <c r="E11" i="7"/>
  <c r="Q11" i="7"/>
  <c r="J11" i="7"/>
  <c r="G11" i="7"/>
  <c r="S11" i="7"/>
  <c r="I11" i="7"/>
  <c r="X11" i="7"/>
  <c r="R11" i="7"/>
  <c r="N11" i="7"/>
  <c r="W11" i="7"/>
  <c r="F11" i="7"/>
  <c r="B21" i="2"/>
  <c r="U11" i="7"/>
  <c r="B15" i="8"/>
  <c r="B9" i="8"/>
  <c r="B11" i="8" s="1"/>
  <c r="B12" i="8" s="1"/>
  <c r="B15" i="2" s="1"/>
  <c r="F20" i="5"/>
  <c r="F21" i="5" s="1"/>
  <c r="B19" i="8" l="1"/>
  <c r="B20" i="8" s="1"/>
  <c r="B16" i="2" s="1"/>
  <c r="B27" i="8"/>
  <c r="B21" i="8"/>
  <c r="B22" i="8"/>
  <c r="F22" i="5"/>
  <c r="F23" i="5" s="1"/>
  <c r="S10" i="7" l="1"/>
  <c r="S20" i="7" s="1"/>
  <c r="G10" i="7"/>
  <c r="G20" i="7" s="1"/>
  <c r="R10" i="7"/>
  <c r="R20" i="7" s="1"/>
  <c r="F10" i="7"/>
  <c r="F20" i="7" s="1"/>
  <c r="P10" i="7"/>
  <c r="P20" i="7" s="1"/>
  <c r="D10" i="7"/>
  <c r="D20" i="7" s="1"/>
  <c r="O10" i="7"/>
  <c r="O20" i="7" s="1"/>
  <c r="C10" i="7"/>
  <c r="C20" i="7" s="1"/>
  <c r="F25" i="5"/>
  <c r="M10" i="7"/>
  <c r="M20" i="7" s="1"/>
  <c r="D19" i="6"/>
  <c r="N10" i="7"/>
  <c r="N20" i="7" s="1"/>
  <c r="B10" i="7"/>
  <c r="B20" i="7" s="1"/>
  <c r="T10" i="7"/>
  <c r="T20" i="7" s="1"/>
  <c r="Q10" i="7"/>
  <c r="Q20" i="7" s="1"/>
  <c r="L10" i="7"/>
  <c r="L20" i="7" s="1"/>
  <c r="K10" i="7"/>
  <c r="K20" i="7" s="1"/>
  <c r="J10" i="7"/>
  <c r="J20" i="7" s="1"/>
  <c r="U10" i="7"/>
  <c r="U20" i="7" s="1"/>
  <c r="I10" i="7"/>
  <c r="I20" i="7" s="1"/>
  <c r="H10" i="7"/>
  <c r="H20" i="7" s="1"/>
  <c r="E10" i="7"/>
  <c r="E20" i="7" s="1"/>
  <c r="B9" i="2"/>
  <c r="X10" i="7"/>
  <c r="X20" i="7" s="1"/>
  <c r="W10" i="7"/>
  <c r="W20" i="7" s="1"/>
  <c r="V10" i="7"/>
  <c r="V20" i="7" s="1"/>
  <c r="F24" i="5"/>
  <c r="B20" i="2" l="1"/>
  <c r="B24" i="2"/>
  <c r="D22" i="6"/>
  <c r="B25" i="2" s="1"/>
  <c r="E13" i="7"/>
  <c r="I13" i="7"/>
  <c r="F13" i="7"/>
  <c r="P13" i="7"/>
  <c r="K13" i="7"/>
  <c r="R13" i="7"/>
  <c r="X13" i="7"/>
  <c r="D20" i="6"/>
  <c r="U13" i="7"/>
  <c r="B23" i="7"/>
  <c r="J13" i="7" l="1"/>
  <c r="W13" i="7"/>
  <c r="L13" i="7"/>
  <c r="H13" i="7"/>
  <c r="G13" i="7"/>
  <c r="M13" i="7"/>
  <c r="T13" i="7"/>
  <c r="S13" i="7"/>
  <c r="D23" i="6"/>
  <c r="D24" i="6" s="1"/>
  <c r="N13" i="7"/>
  <c r="V13" i="7"/>
  <c r="Q13" i="7"/>
  <c r="O13" i="7"/>
  <c r="D31" i="6" l="1"/>
  <c r="B10" i="2"/>
  <c r="B14" i="2" s="1"/>
  <c r="B42" i="2" s="1"/>
  <c r="B26" i="2"/>
  <c r="O14" i="7"/>
  <c r="O16" i="7" s="1"/>
  <c r="O19" i="7" s="1"/>
  <c r="N14" i="7"/>
  <c r="N16" i="7" s="1"/>
  <c r="N19" i="7" s="1"/>
  <c r="P14" i="7"/>
  <c r="P16" i="7" s="1"/>
  <c r="P19" i="7" s="1"/>
  <c r="M14" i="7"/>
  <c r="M16" i="7" s="1"/>
  <c r="M19" i="7" s="1"/>
  <c r="U14" i="7"/>
  <c r="U16" i="7" s="1"/>
  <c r="U19" i="7" s="1"/>
  <c r="E14" i="7"/>
  <c r="E16" i="7" s="1"/>
  <c r="E19" i="7" s="1"/>
  <c r="V14" i="7"/>
  <c r="V16" i="7" s="1"/>
  <c r="V19" i="7" s="1"/>
  <c r="K14" i="7"/>
  <c r="K16" i="7" s="1"/>
  <c r="K19" i="7" s="1"/>
  <c r="T14" i="7"/>
  <c r="T16" i="7" s="1"/>
  <c r="T19" i="7" s="1"/>
  <c r="L14" i="7"/>
  <c r="L16" i="7" s="1"/>
  <c r="L19" i="7" s="1"/>
  <c r="G14" i="7"/>
  <c r="G16" i="7" s="1"/>
  <c r="G19" i="7" s="1"/>
  <c r="S14" i="7"/>
  <c r="S16" i="7" s="1"/>
  <c r="S19" i="7" s="1"/>
  <c r="R14" i="7"/>
  <c r="R16" i="7" s="1"/>
  <c r="R19" i="7" s="1"/>
  <c r="X14" i="7"/>
  <c r="X16" i="7" s="1"/>
  <c r="X19" i="7" s="1"/>
  <c r="F14" i="7"/>
  <c r="F16" i="7" s="1"/>
  <c r="F19" i="7" s="1"/>
  <c r="I14" i="7"/>
  <c r="I16" i="7" s="1"/>
  <c r="I19" i="7" s="1"/>
  <c r="J14" i="7"/>
  <c r="J16" i="7" s="1"/>
  <c r="J19" i="7" s="1"/>
  <c r="Q14" i="7"/>
  <c r="Q16" i="7" s="1"/>
  <c r="Q19" i="7" s="1"/>
  <c r="H14" i="7"/>
  <c r="H16" i="7" s="1"/>
  <c r="H19" i="7" s="1"/>
  <c r="W14" i="7"/>
  <c r="W16" i="7" s="1"/>
  <c r="W19" i="7" s="1"/>
  <c r="B24" i="7" l="1"/>
  <c r="B28" i="2"/>
  <c r="B41" i="2"/>
  <c r="C41" i="2" s="1"/>
  <c r="B35" i="2"/>
  <c r="C35" i="2" s="1"/>
  <c r="B39" i="2"/>
  <c r="C39" i="2" s="1"/>
  <c r="B40" i="2"/>
  <c r="C40" i="2" s="1"/>
  <c r="B38" i="2"/>
  <c r="C38" i="2" s="1"/>
  <c r="B37" i="2"/>
  <c r="C37" i="2" s="1"/>
  <c r="C42" i="2"/>
  <c r="B33" i="2"/>
  <c r="C33" i="2" s="1"/>
  <c r="B36" i="2"/>
  <c r="C36" i="2" s="1"/>
  <c r="B34" i="2"/>
  <c r="C34" i="2" s="1"/>
  <c r="B29" i="2" l="1"/>
  <c r="C27" i="2"/>
  <c r="C23" i="2"/>
  <c r="C22" i="2"/>
  <c r="C21" i="2"/>
  <c r="C24" i="2"/>
  <c r="C20" i="2"/>
  <c r="C25" i="2"/>
  <c r="C26" i="2"/>
  <c r="B26" i="7"/>
  <c r="B12" i="2" s="1"/>
  <c r="B27" i="7"/>
  <c r="C28" i="2" l="1"/>
</calcChain>
</file>

<file path=xl/sharedStrings.xml><?xml version="1.0" encoding="utf-8"?>
<sst xmlns="http://schemas.openxmlformats.org/spreadsheetml/2006/main" count="669" uniqueCount="495">
  <si>
    <t>Techno-economic and life-cycle (energy/GHG) assessment: Memb-Integration-1</t>
  </si>
  <si>
    <t>Biogas (anaerobic digestion) -&gt; zeolite membrane upgrading -&gt; catalytic methane pyrolysis to hydrogen and solid carbon. All costs in USD.</t>
  </si>
  <si>
    <t>PURPOSE</t>
  </si>
  <si>
    <t>Screening-level TEA and gate-to-gate energy/GHG assessment of the current Aspen Plus model, using the method of the two reference papers in TEA/LCA-ref-docs.</t>
  </si>
  <si>
    <t>Main outputs (sheet Summary): total project investment, annual operating cost, levelised cost of hydrogen (LCOH), net energy ratio (NER), GHG intensity.</t>
  </si>
  <si>
    <t>HOW TO USE / COLOUR LEGEND</t>
  </si>
  <si>
    <t>Blue text = hardcoded input (edit these).  Black text = formula.  Green text = link to another sheet.</t>
  </si>
  <si>
    <t>Yellow fill = key assumption or estimate that should be checked or replaced (especially the equipment costs on sheet CAPEX).</t>
  </si>
  <si>
    <t>Edit only blue cells. Every input has its source in the column next to it or in a cell comment.</t>
  </si>
  <si>
    <t>SHEETS</t>
  </si>
  <si>
    <t>Assumptions: economic method, prices and LCA factors, with sources.</t>
  </si>
  <si>
    <t>CAPEX: equipment list (indicative purchased costs) and the capital-cost build-up of the reference papers (Table 4 / Table 5).</t>
  </si>
  <si>
    <t>OPEX: steady-state annual operating cost and by-product credits (85 % capacity factor).</t>
  </si>
  <si>
    <t>DCF: 3 construction years + 20 operating years, start-up factors and escalation rates of the papers; LCOH at 10 % IRR.</t>
  </si>
  <si>
    <t>LCA: energy balance, net energy ratio (NER = renewable energy out / fossil energy in, as defined in the papers) and gate-to-gate GHG.</t>
  </si>
  <si>
    <t>Summary: key results, cost breakdown and a one-at-a-time sensitivity table.</t>
  </si>
  <si>
    <t>METHOD (from the reference papers)</t>
  </si>
  <si>
    <t>Capital: turnkey items (AD plant, biogas upgrading) use installed costs from IEA Bioenergy (Task 37, 2015; Task 44, 2025) + 12.5 % owner costs; purchased items (pyrolysis reactor, furnace, cooler, carbon separation, zeolite premium) use Turton and Towler &amp; Sinnott correlations escalated with CEPCI to 2024, then x 302 % installation + 89 % indirect (papers). Then + 20 % contingency and + 10 % location factor on everything.</t>
  </si>
  <si>
    <t>Operating: maintenance 3 % of TPI; operating charges 25 % of labour; plant overhead 50 % of labour + maintenance; G&amp;A 8 % of total operating cost.</t>
  </si>
  <si>
    <t>Economics: 20-year life, 10 % IRR, construction spread 20/35/45 %, start-up factors 0.70/0.80/0.85, escalation rates as in Patel et al. 2019 (WBV, Table 6).</t>
  </si>
  <si>
    <t>LCOH = present value of all costs minus by-product credits, divided by present value of hydrogen output (first-year price that escalates at the product escalation rate), i.e. the papers' production-cost-at-IRR approach. A simple constant-dollar (CRF) LCOH is also given as a cross-check.</t>
  </si>
  <si>
    <t>IMPORTANT LIMITATIONS</t>
  </si>
  <si>
    <t>1. Equipment costs now come from published sources (IEA Bioenergy reports, Turton, Towler &amp; Sinnott; see CAPEX column G). Still uncertain: the furnace correlation is extrapolated below its 0.2 MW range, the carbon separator is an indicative estimate, small biogas upgrading units can cost about 2.5x the scaled IEA value, and zeolite membrane prices span 1,000-5,000 EUR/m2. APEA or vendor quotes remain the way to firm these up.</t>
  </si>
  <si>
    <t>2. The plant is very small (8.5 t/d wet biomass, about 33 t H2/yr), so capital and labour dominate and the LCOH is high. The papers report a capital-cost scale factor of 0.71 (WBV 2019), so larger plants are much cheaper per kg.</t>
  </si>
  <si>
    <t>4. Pyrolysis reactor heat duty is not printed by Aspen; it is estimated from reaction enthalpies at 790 C computed with Perry's Handbook data (Process_Data).</t>
  </si>
  <si>
    <t>5. Not modelled or costed: hydrogen purification (product gas also holds CO and water), heat integration, digestate treatment, taxes, working capital, land.</t>
  </si>
  <si>
    <t>6. LCA is gate-to-gate (plant energy use only); it excludes construction, feedstock production and transport, and digestate use. Biogenic CO2 is reported but not counted.</t>
  </si>
  <si>
    <t>REFERENCES</t>
  </si>
  <si>
    <t>[1] Patel, Oyedun, Kumar, Gupta (2019), Fuel Processing Technology 191:79-92 (TEA/LCA-ref-docs/1-s2.0-S0378382018318666-main.pdf)</t>
  </si>
  <si>
    <t>[2] Patel, Oyedun, Kumar, Gupta (2019), Waste and Biomass Valorization 10:2745-2760 (TEA/LCA-ref-docs/s12649-018-0359-x.pdf)</t>
  </si>
  <si>
    <t>[3] Perry's Chemical Engineers' Handbook, 8th ed. (ideal-gas Cp Table 2-156; dHf Table 2-179) for the pyrolysis reaction enthalpies.</t>
  </si>
  <si>
    <t>[4] IPCC 2006 Guidelines, Vol. 2, Table 2.2: natural gas combustion 56,100 kg CO2/TJ.</t>
  </si>
  <si>
    <t>[5] IEA Bioenergy Task 37 (2015), Exploring the viability of small scale anaerobic digesters in livestock farming, ISBN 978-1-910154-25-0, section 5.1, Table 9, Appendix A</t>
  </si>
  <si>
    <t>[6] IEA Bioenergy Task 44 (2025), Technologies for Flexible Bioenergy (Updated), p. 24 (biogas upgrading costs)</t>
  </si>
  <si>
    <t>[7] Towler &amp; Sinnott (2013), Chemical Engineering Design 2nd ed., Table 7.2 (US Gulf Coast, Jan 2010, CEPCI 532.9) and Table 7.6</t>
  </si>
  <si>
    <t>[8] Turton et al., Analysis, Synthesis and Design of Chemical Processes, 5th ed., Appendix A (2001 basis, CEPCI 394.3), constants as coded in github.com/weepctxb/ChemEngDPpy capex.py</t>
  </si>
  <si>
    <t>[9] US EIA: Electric Power Annual 2024 (industrial electricity 8.13 c/kWh); Natural Gas Annual 2024 (industrial gas 3.93 $/Mcf).</t>
  </si>
  <si>
    <t>[10] US BLS OEWS May 2024, Chemical Plant and System Operators (SOC 51-8091), median wage $80,030.</t>
  </si>
  <si>
    <t>[11] US EPA eGRID2022 (via GHG Equivalencies Calculator): US total output CO2 rate 823.1 lb/MWh.</t>
  </si>
  <si>
    <t>[12] Chemical Engineering magazine CEPCI (2014 annual 576.1; 2024 monthly about 795-800). ECB 2024 average 1.0824 USD/EUR.</t>
  </si>
  <si>
    <t>Summary: TEA and LCA of the current process (USD)</t>
  </si>
  <si>
    <t>Result</t>
  </si>
  <si>
    <t>Value</t>
  </si>
  <si>
    <t>Unit</t>
  </si>
  <si>
    <t>Note</t>
  </si>
  <si>
    <t>Hydrogen production (steady state)</t>
  </si>
  <si>
    <t>t/yr</t>
  </si>
  <si>
    <t>85 % capacity factor</t>
  </si>
  <si>
    <t>Solid carbon by-product</t>
  </si>
  <si>
    <t>Turnkey items (AD plant + upgrading), installed</t>
  </si>
  <si>
    <t>USD</t>
  </si>
  <si>
    <t>IEA Bioenergy cost data</t>
  </si>
  <si>
    <t>Purchased equipment (pyrolysis section, membrane premium)</t>
  </si>
  <si>
    <t>Textbook correlations + factors of [1], [2]</t>
  </si>
  <si>
    <t>Total project investment (TPI)</t>
  </si>
  <si>
    <t>TPEC x factors of [1], [2]</t>
  </si>
  <si>
    <t>Annual operating cost (steady state)</t>
  </si>
  <si>
    <t>USD/yr</t>
  </si>
  <si>
    <t>Annual by-product credits</t>
  </si>
  <si>
    <t>Solid carbon (+ digestate if valued)</t>
  </si>
  <si>
    <t>Levelised cost of hydrogen (DCF, 10 % IRR, nominal first operating year)</t>
  </si>
  <si>
    <t>USD/kg H2</t>
  </si>
  <si>
    <t>Year-4 nominal price, then +5 %/yr ([1], [2] method). Not comparable with the flat constant-dollar line below</t>
  </si>
  <si>
    <t>Capital recovery factor</t>
  </si>
  <si>
    <t>-</t>
  </si>
  <si>
    <t>Constant-dollar cross-check</t>
  </si>
  <si>
    <t>LCOH, simple constant-dollar (CRF x TPI + OPEX - credits) / H2</t>
  </si>
  <si>
    <t>No escalation, no construction period</t>
  </si>
  <si>
    <t>Net energy ratio (NER)</t>
  </si>
  <si>
    <t>[1] definition</t>
  </si>
  <si>
    <t>GHG intensity (gate-to-gate)</t>
  </si>
  <si>
    <t>kg CO2e/kg H2</t>
  </si>
  <si>
    <t>Carbon-storage credit per switch on Assumptions</t>
  </si>
  <si>
    <t>Annual cost breakdown (steady state)</t>
  </si>
  <si>
    <t>Component</t>
  </si>
  <si>
    <t>Share</t>
  </si>
  <si>
    <t>Capital (CRF x TPI)</t>
  </si>
  <si>
    <t>Utilities</t>
  </si>
  <si>
    <t>Raw materials (water, feed, catalyst, membrane)</t>
  </si>
  <si>
    <t>Operating labour</t>
  </si>
  <si>
    <t>Maintenance</t>
  </si>
  <si>
    <t>Operating charges + plant overhead</t>
  </si>
  <si>
    <t>General &amp; administrative</t>
  </si>
  <si>
    <t>By-product credits (negative)</t>
  </si>
  <si>
    <t>Total annual net cost</t>
  </si>
  <si>
    <t>Check: total / H2 = simple LCOH</t>
  </si>
  <si>
    <t>One-at-a-time sensitivity of the simple LCOH (USD/kg H2)</t>
  </si>
  <si>
    <t>Case</t>
  </si>
  <si>
    <t>LCOH (USD/kg)</t>
  </si>
  <si>
    <t>Change vs base</t>
  </si>
  <si>
    <t>How it is computed</t>
  </si>
  <si>
    <t>Base case</t>
  </si>
  <si>
    <t>Base</t>
  </si>
  <si>
    <t>Capital (TPI) -30 %</t>
  </si>
  <si>
    <t>Capital term, maintenance and its overhead/G&amp;A scale with TPI</t>
  </si>
  <si>
    <t>Capital (TPI) +30 %</t>
  </si>
  <si>
    <t>As above</t>
  </si>
  <si>
    <t>Natural gas price x2</t>
  </si>
  <si>
    <t>Adds one more year of gas cost (+ G&amp;A)</t>
  </si>
  <si>
    <t>Electricity price x2</t>
  </si>
  <si>
    <t>Adds one more year of electricity cost (+ G&amp;A)</t>
  </si>
  <si>
    <t>Operating labour x0.5</t>
  </si>
  <si>
    <t>Labour with its charges, overhead and G&amp;A</t>
  </si>
  <si>
    <t>Solid carbon credit 1,200 USD/t (carbon-black price level)</t>
  </si>
  <si>
    <t>Carbon sold near the 2024 carbon-black price (about 1,040-1,820 $/t)</t>
  </si>
  <si>
    <t>Upgrading unit cost at IEA Task 37 small-unit level (x2.5)</t>
  </si>
  <si>
    <t>Small 10-30 m3/h units (233-361 kGBP in 2014) suggest roughly 2.5x the scaled IEA Task 44 value</t>
  </si>
  <si>
    <t>Zeolite membrane price 5,000 USD/m2</t>
  </si>
  <si>
    <t>Top of the 1,000-5,000 EUR/m2 literature range</t>
  </si>
  <si>
    <t>Item</t>
  </si>
  <si>
    <t>Source / note</t>
  </si>
  <si>
    <t>Streams and products</t>
  </si>
  <si>
    <t>Biomass feed (wet, 75.2 % water)</t>
  </si>
  <si>
    <t>kg/h</t>
  </si>
  <si>
    <t>8.5 t/d (stream BIOMASS). Aspen Plus COM run 2026-10-07 after C26/C27 (docs/results_2026-10-07.md)</t>
  </si>
  <si>
    <t>Process water (WATERIN)</t>
  </si>
  <si>
    <t>13 t/d. Aspen Plus COM run 2026-10-07 after C26/C27 (docs/results_2026-10-07.md)</t>
  </si>
  <si>
    <t>Biogas to upgrading (GAS2C)</t>
  </si>
  <si>
    <t>kmol/h</t>
  </si>
  <si>
    <t>Aspen Plus COM run 2026-10-07 after C26/C27 (docs/results_2026-10-07.md)</t>
  </si>
  <si>
    <t xml:space="preserve">  CH4 mole fraction in biogas</t>
  </si>
  <si>
    <t xml:space="preserve">  Biogas volumetric flow</t>
  </si>
  <si>
    <t>Nm3/h</t>
  </si>
  <si>
    <t>Formula: kmol/h x 22.414 Nm3/kmol</t>
  </si>
  <si>
    <t xml:space="preserve">  Methane energy in biogas (LHV)</t>
  </si>
  <si>
    <t>kW</t>
  </si>
  <si>
    <t>Formula: CH4 kmol/h x 802.3 MJ/kmol (Perry Table 2-179, net heat of combustion of methane) / 3.6</t>
  </si>
  <si>
    <t>Digestate (stream LIQUID)</t>
  </si>
  <si>
    <t>Stream LIQUID, 2026-10-06 run; NOT refreshed (not in the 2026-10-07 results record, expected to change little)</t>
  </si>
  <si>
    <t>Membrane area (MEMB1, parameter A)</t>
  </si>
  <si>
    <t>m2</t>
  </si>
  <si>
    <t>ACM model files/zeo_real.acmf</t>
  </si>
  <si>
    <t>Retentate to pyrolysis (RET)</t>
  </si>
  <si>
    <t xml:space="preserve">  CH4 mole fraction in retentate</t>
  </si>
  <si>
    <t>Permeate (PER, leaves process)</t>
  </si>
  <si>
    <t>Aspen Plus COM run 2026-10-07 after C26/C27 (docs/results_2026-10-07.md) (stage cut 0.246 x 2.358)</t>
  </si>
  <si>
    <t xml:space="preserve">  CO2 mole fraction in permeate</t>
  </si>
  <si>
    <t>Aspen Plus COM run 2026-10-07 after C26/C27 (docs/results_2026-10-07.md) (from CO2 removed 56.3 %). Derived from the 2026-10-07 results table (4 significant figures only); replace with exact values from the GUI run.</t>
  </si>
  <si>
    <t xml:space="preserve">  CH4 mole fraction in permeate</t>
  </si>
  <si>
    <t>Aspen Plus COM run 2026-10-07 after C26/C27 (docs/results_2026-10-07.md) (from CH4 recovery 97.1 %). Derived from the 2026-10-07 results table (4 significant figures only); replace with exact values from the GUI run.</t>
  </si>
  <si>
    <t>Hydrogen in pyrolysis product (FINPROD)</t>
  </si>
  <si>
    <t xml:space="preserve">  Hydrogen mass flow</t>
  </si>
  <si>
    <t>Formula: kmol/h x 2.01588 kg/kmol</t>
  </si>
  <si>
    <t xml:space="preserve">  Solid carbon mass flow</t>
  </si>
  <si>
    <t>Formula: kmol/h x 12.011 kg/kmol</t>
  </si>
  <si>
    <t>CO in pyrolysis product (from RWGS)</t>
  </si>
  <si>
    <t>Pyrolysis catalyst charge</t>
  </si>
  <si>
    <t>kg</t>
  </si>
  <si>
    <t>Block CH4PYRO input</t>
  </si>
  <si>
    <t>Energy (kW; positive = heat or power in)</t>
  </si>
  <si>
    <t>COMP1 compressor power</t>
  </si>
  <si>
    <t>Aspen Plus COM run 2026-10-07 after C26/C27 (docs/results_2026-10-07.md) (total 5.69 kW; split in the old 2.710:2.758 ratio). Derived from the 2026-10-07 results table (4 significant figures only); replace with exact values from the GUI run.</t>
  </si>
  <si>
    <t>COMP2 compressor power</t>
  </si>
  <si>
    <t>Aspen Plus COM run 2026-10-07 after C26/C27 (docs/results_2026-10-07.md) (total 5.69 kW; split in the old ratio). Derived from the 2026-10-07 results table (4 significant figures only); replace with exact values from the GUI run.</t>
  </si>
  <si>
    <t>RSTOIC heating (feed to 55 C + hydrolysis)</t>
  </si>
  <si>
    <t>B1 digester heating</t>
  </si>
  <si>
    <t>HEAT2 heating 30 -&gt; 790 C</t>
  </si>
  <si>
    <t xml:space="preserve">  Reaction enthalpy CH4 -&gt; C + 2H2 at 790 C</t>
  </si>
  <si>
    <t>MJ/kmol</t>
  </si>
  <si>
    <t>Computed from Perry Handbook data (Cp Table 2-156, dHf Table 2-179, graphite Cp Table 2-151)</t>
  </si>
  <si>
    <t xml:space="preserve">  Reaction enthalpy CO2 + H2 -&gt; CO + H2O at 790 C</t>
  </si>
  <si>
    <t>Same method as above</t>
  </si>
  <si>
    <t>CH4PYRO reactor heat (estimate)</t>
  </si>
  <si>
    <t>FLASH cooling (biogas to 25 C)</t>
  </si>
  <si>
    <t>ESTIMATE: 2026-10-06 value 5.297 x 1.04 (biogas flow ratio); not in the 2026-10-07 results record</t>
  </si>
  <si>
    <t>COOL1 cooling</t>
  </si>
  <si>
    <t>ESTIMATE: 2026-10-06 value 2.596 x 1.04 (compressor power ratio)</t>
  </si>
  <si>
    <t>COOL2 cooling</t>
  </si>
  <si>
    <t>ESTIMATE: 2026-10-06 value 2.758 x 1.04 (compressor power ratio)</t>
  </si>
  <si>
    <t>Total cooling duty</t>
  </si>
  <si>
    <t>Formula. Pyrolysis product cooling is not modelled.</t>
  </si>
  <si>
    <t>Assumptions (all costs in USD)</t>
  </si>
  <si>
    <t>Parameter</t>
  </si>
  <si>
    <t>Economic method (reference papers)</t>
  </si>
  <si>
    <t>Calendar hours per year</t>
  </si>
  <si>
    <t>h/yr</t>
  </si>
  <si>
    <t>Definition</t>
  </si>
  <si>
    <t>Capacity factor, steady state (year 3+)</t>
  </si>
  <si>
    <t>Plant start-up factor Year 2+ = 0.85 [1] Table 5, [2] Table 6</t>
  </si>
  <si>
    <t>Start-up factor, operating year 1</t>
  </si>
  <si>
    <t>[1] Table 5, [2] Table 6</t>
  </si>
  <si>
    <t>Start-up factor, operating year 2</t>
  </si>
  <si>
    <t>Plant life</t>
  </si>
  <si>
    <t>yr</t>
  </si>
  <si>
    <t>IRR / discount rate</t>
  </si>
  <si>
    <t>Construction spend, year -3</t>
  </si>
  <si>
    <t>[2] Table 6 (spread of construction cost)</t>
  </si>
  <si>
    <t>Construction spend, year -2</t>
  </si>
  <si>
    <t>[2] Table 6</t>
  </si>
  <si>
    <t>Construction spend, year -1</t>
  </si>
  <si>
    <t>[2] Table 6 (remainder; [1] text lists 20/45/35 %, the table order is ambiguous in the PDF)</t>
  </si>
  <si>
    <t>Escalation: project capital</t>
  </si>
  <si>
    <t>Escalation: products (H2, by-products)</t>
  </si>
  <si>
    <t>Escalation: raw materials</t>
  </si>
  <si>
    <t>Escalation: operating &amp; maintenance labour</t>
  </si>
  <si>
    <t>Escalation: utilities</t>
  </si>
  <si>
    <t>Escalation: general &amp; administrative</t>
  </si>
  <si>
    <t>Capital-cost factors (Peters &amp; Timmerhaus, as used in [1] Table 4, [2] Table 5)</t>
  </si>
  <si>
    <t>Total installed cost (TIC), x TPEC</t>
  </si>
  <si>
    <t>[1] Table 4, [2] Table 5: TIC = 302 % TPEC</t>
  </si>
  <si>
    <t>Indirect cost (IC), x TPEC</t>
  </si>
  <si>
    <t>[1] Table 4, [2] Table 5: IC = 89 % TPEC</t>
  </si>
  <si>
    <t>Contingency, x (TIC + IC)</t>
  </si>
  <si>
    <t>[1] Table 4, [2] Table 5</t>
  </si>
  <si>
    <t>Location factor, x FCI</t>
  </si>
  <si>
    <t>Operating-cost factors ([1] Table 5)</t>
  </si>
  <si>
    <t>Maintenance, x TPI</t>
  </si>
  <si>
    <t>[1] Table 5: 3 % of TPI</t>
  </si>
  <si>
    <t>Operating charges, x labour</t>
  </si>
  <si>
    <t>[1] Table 5</t>
  </si>
  <si>
    <t>Plant overhead, x (labour + maintenance)</t>
  </si>
  <si>
    <t>General &amp; administrative, x total operating cost</t>
  </si>
  <si>
    <t>Prices</t>
  </si>
  <si>
    <t>Electricity price</t>
  </si>
  <si>
    <t>$/kWh</t>
  </si>
  <si>
    <t>US EIA, Electric Power Annual 2024: average industrial price 8.13 c/kWh. (Papers: [1] 0.056, [2] 0.04 $/kWh)</t>
  </si>
  <si>
    <t>Natural gas price, industrial</t>
  </si>
  <si>
    <t>$/Mcf</t>
  </si>
  <si>
    <t>US EIA, Natural Gas Annual 2024: average price delivered to industrial consumers 3.93 $/thousand cubic feet</t>
  </si>
  <si>
    <t>Natural gas heat content</t>
  </si>
  <si>
    <t>MMBtu/Mcf</t>
  </si>
  <si>
    <t>US EIA approximate heat content of natural gas (about 1,036 Btu per cubic foot)</t>
  </si>
  <si>
    <t>Natural gas price (heating fuel)</t>
  </si>
  <si>
    <t>$/GJ</t>
  </si>
  <si>
    <t>Formula: $/Mcf / (MMBtu/Mcf x 1.055056 GJ/MMBtu)</t>
  </si>
  <si>
    <t>Low-temperature heater efficiency (digester heating)</t>
  </si>
  <si>
    <t>ASSUMPTION</t>
  </si>
  <si>
    <t>High-temperature fired heater efficiency (790 C heating, pyrolysis)</t>
  </si>
  <si>
    <t>Cooling water cost</t>
  </si>
  <si>
    <t>$/GJ removed</t>
  </si>
  <si>
    <t>Process water price</t>
  </si>
  <si>
    <t>$/m3</t>
  </si>
  <si>
    <t>Biomass feed cost (wet)</t>
  </si>
  <si>
    <t>$/t</t>
  </si>
  <si>
    <t>ASSUMPTION: organic waste at zero cost. [2] used 48 $/t delivered forest biomass (different feed).</t>
  </si>
  <si>
    <t>Specific electricity of membrane upgrading (incl. pretreatment)</t>
  </si>
  <si>
    <t>kWh/Nm3</t>
  </si>
  <si>
    <t>IEA Task 44 (2025) p. 24: 0.2-0.38 kWh/Nm3 (lower end used). The model's compressors alone use about 0.11 kWh/Nm3</t>
  </si>
  <si>
    <t>Digester mixing and pumps allowance</t>
  </si>
  <si>
    <t>ASSUMPTION allowance (not in the Aspen model)</t>
  </si>
  <si>
    <t>Pyrolysis catalyst price</t>
  </si>
  <si>
    <t>$/kg</t>
  </si>
  <si>
    <t>Catalyst charges replaced per year</t>
  </si>
  <si>
    <t>1/yr</t>
  </si>
  <si>
    <t>ASSUMPTION (carbon deposition deactivates CH4-cracking catalysts)</t>
  </si>
  <si>
    <t>Zeolite membrane price (module)</t>
  </si>
  <si>
    <t>$/m2</t>
  </si>
  <si>
    <t>Literature: inorganic membranes 1,000-5,000 EUR/m2; zeolite multistage biogas schemes economic up to about 2,000 $/m2 (Chem. Eng. Res. Des. 2024, doi via sciencedirect S0263876224003162). Very uncertain</t>
  </si>
  <si>
    <t>Polymer membrane price (module), already in the IEA upgrading cost</t>
  </si>
  <si>
    <t>About 100 $/m2 for industrial polymeric modules (as reported in zeolite-membrane cost literature, e.g. Ind. Eng. Chem. Res. 2023, 10.1021/acs.iecr.3c02016)</t>
  </si>
  <si>
    <t>Membrane life</t>
  </si>
  <si>
    <t>IEA Task 44 (2025) p. 24: membranes replaced every 5-10 years (5 used)</t>
  </si>
  <si>
    <t>Operators (full-time equivalents)</t>
  </si>
  <si>
    <t>FTE</t>
  </si>
  <si>
    <t>ASSUMPTION for a small plant ([1] used 13 staff for a 2000 t/d plant)</t>
  </si>
  <si>
    <t>Salary per FTE</t>
  </si>
  <si>
    <t>$/yr</t>
  </si>
  <si>
    <t>US BLS OEWS May 2024, SOC 51-8091 Chemical Plant and System Operators, median annual wage $80,030</t>
  </si>
  <si>
    <t>Solid carbon credit</t>
  </si>
  <si>
    <t>[1] section 3.2: biochar at 100 $/t (conservative). Carbon black sold at about 1,040-1,820 $/t in 2024 (ChemAnalyst / price reports); catalyst-laden carbon from this process may need purification first</t>
  </si>
  <si>
    <t>Digestate credit</t>
  </si>
  <si>
    <t>ASSUMPTION (no value taken)</t>
  </si>
  <si>
    <t>Hydrogen LHV</t>
  </si>
  <si>
    <t>MJ/kg</t>
  </si>
  <si>
    <t>Standard value (119.96 MJ/kg)</t>
  </si>
  <si>
    <t>Cost basis: indices, exchange rates, sizing</t>
  </si>
  <si>
    <t>CEPCI 2024 (target year)</t>
  </si>
  <si>
    <t>Chemical Engineering magazine: 2024 monthly CEPCI 795.4 (Jan) to 800.2 (May); about 800</t>
  </si>
  <si>
    <t>CEPCI 2014</t>
  </si>
  <si>
    <t>Chemical Engineering magazine: 2014 annual CEPCI 576.1</t>
  </si>
  <si>
    <t>CEPCI Jan 2010 (Towler &amp; Sinnott basis)</t>
  </si>
  <si>
    <t>Towler &amp; Sinnott Table 7.2 note 7</t>
  </si>
  <si>
    <t>CEPCI 2001 (Turton basis)</t>
  </si>
  <si>
    <t>Turton 5th ed. (via ChemEngDPpy capex.py)</t>
  </si>
  <si>
    <t>USD per GBP (IEA Task 37 report basis)</t>
  </si>
  <si>
    <t>$/GBP</t>
  </si>
  <si>
    <t>IEA Task 37 (2015) Appendix A, reference date 27 Oct 2014</t>
  </si>
  <si>
    <t>USD per EUR (2024 average)</t>
  </si>
  <si>
    <t>$/EUR</t>
  </si>
  <si>
    <t>ECB reference rate, 2024 average</t>
  </si>
  <si>
    <t>AD plant capital cost, median for plants &lt; 250 kWe</t>
  </si>
  <si>
    <t>GBP/kWe</t>
  </si>
  <si>
    <t>IEA Task 37 (2015) section 5.1.1: median of Austrian and German plants smaller than 250 kWe (civil works, tanks, mechanical and electrical, CHP)</t>
  </si>
  <si>
    <t>Share of AD capital that is CHP (excluded here)</t>
  </si>
  <si>
    <t>IEA Task 37 (2015) section 5.1: 6 % gas-use technology (CHP)</t>
  </si>
  <si>
    <t>CHP electrical efficiency (to express the plant in kWe)</t>
  </si>
  <si>
    <t>ASSUMPTION: typical biogas engine 35-40 %</t>
  </si>
  <si>
    <t>Membrane upgrading investment at reference size</t>
  </si>
  <si>
    <t>EUR/(Nm3/h)</t>
  </si>
  <si>
    <t>IEA Task 44 (2025) p. 24: 2,500-6,000 EUR per Nm3/h for 100-400 Nm3/h (upper end used: our unit is smaller)</t>
  </si>
  <si>
    <t>Reference upgrading capacity</t>
  </si>
  <si>
    <t>IEA Task 44 (2025) p. 24 (lower end of the quoted range)</t>
  </si>
  <si>
    <t>Capacity exponent for scaling</t>
  </si>
  <si>
    <t>Six-tenths rule, Perry Handbook 8th ed. Eq. 9-1 (exponent 0.4-0.9, average about 0.6)</t>
  </si>
  <si>
    <t>Owner costs on turnkey items (feasibility, permits, licences)</t>
  </si>
  <si>
    <t>IEA Task 37 (2015) section 5.1: typically add 10-15 % to the contractor tender</t>
  </si>
  <si>
    <t>Product gas cooler area (assumed)</t>
  </si>
  <si>
    <t>ASSUMPTION (about 19 kW, gas-side U about 50 W/m2K)</t>
  </si>
  <si>
    <t>Material factor, nickel/Inconel vs carbon steel (Towler &amp; Sinnott)</t>
  </si>
  <si>
    <t>Towler &amp; Sinnott Table 7.6: Nickel and Inconel 1.7</t>
  </si>
  <si>
    <t>Material factor, nickel-alloy vessel (Turton)</t>
  </si>
  <si>
    <t>Turton 5th ed. vessel material factor, Ni alloy 7.1 (via ChemEngDPpy)</t>
  </si>
  <si>
    <t>LCA factors</t>
  </si>
  <si>
    <t>Grid electricity emission factor</t>
  </si>
  <si>
    <t>kg CO2/kWh</t>
  </si>
  <si>
    <t>US EPA eGRID2022 national total output CO2 rate 823.1 lb/MWh (via EPA GHG Equivalencies Calculator). Replace with your local grid</t>
  </si>
  <si>
    <t>Fossil primary energy per unit of electricity</t>
  </si>
  <si>
    <t>MJ/MJ</t>
  </si>
  <si>
    <t>ASSUMPTION: fossil-heavy grid (about 40 % efficiency)</t>
  </si>
  <si>
    <t>Natural gas combustion emission factor</t>
  </si>
  <si>
    <t>kg CO2/GJ</t>
  </si>
  <si>
    <t>IPCC 2006 Guidelines Vol. 2 Table 2.2 (56,100 kg/TJ)</t>
  </si>
  <si>
    <t>Natural gas upstream emissions</t>
  </si>
  <si>
    <t>kg CO2e/GJ</t>
  </si>
  <si>
    <t>Count stored solid carbon as a CO2 credit (1 = yes, 0 = no)</t>
  </si>
  <si>
    <t>Choice: carbon is biogenic; credit only if it is stored permanently</t>
  </si>
  <si>
    <t>Global warming potential of biogenic CH4 (100-year)</t>
  </si>
  <si>
    <t>kg CO2e/kg</t>
  </si>
  <si>
    <t>IPCC AR6 WG1 Table 7.15 (non-fossil CH4 27.0; fossil 29.8). Used only for the vented-CH4 sensitivity on the LCA sheet</t>
  </si>
  <si>
    <t>Capital cost (USD, 2024 basis)</t>
  </si>
  <si>
    <t>Two kinds of items: TURNKEY (installed) costs from IEA Bioenergy data, and PURCHASED equipment costs from textbook correlations, to which the reference papers' installation and indirect factors are applied.</t>
  </si>
  <si>
    <t>#</t>
  </si>
  <si>
    <t>Aspen blocks covered</t>
  </si>
  <si>
    <t>Cost type</t>
  </si>
  <si>
    <t>Basis (formula inputs)</t>
  </si>
  <si>
    <t>Cost 2024 (USD)</t>
  </si>
  <si>
    <t>Anaerobic digestion plant (feed tank, hydrolysis, digester, digestate storage, heating)</t>
  </si>
  <si>
    <t>MIX1, RSTOIC, B1</t>
  </si>
  <si>
    <t>Turnkey</t>
  </si>
  <si>
    <t>IEA Bioenergy Task 37 (2015), Exploring the viability of small scale anaerobic digesters in livestock farming, ISBN 978-1-910154-25-0, section 5.1, Table 9, Appendix A. Median for plants &lt; 250 kWe; CHP share removed; converted at 1.61 $/GBP (Oct 2014) and CEPCI 2014 -&gt; 2024. Plant size expressed in kWe using the biogas methane energy and an assumed 38 % CHP efficiency.</t>
  </si>
  <si>
    <t>Biogas upgrading unit: chilling, H2S and moisture removal, 2-stage compression, coolers, membrane (polymer basis)</t>
  </si>
  <si>
    <t>FLASH, H2S-SEP, NH3SEP, COMP1, COOL1, COMP2, COOL2, MEMB1</t>
  </si>
  <si>
    <t>IEA Bioenergy Task 44 (2025), Technologies for Flexible Bioenergy (Updated), p. 24 (biogas upgrading costs). Upper end of 2,500-6,000 EUR per Nm3/h (100-400 Nm3/h), scaled down with the six-tenths rule (Perry Eq. 9-1). Cross-check: IEA Task 37 (2015) quotes 233,000-361,000 GBP for 10-30 m3/h units, i.e. small units can cost more.</t>
  </si>
  <si>
    <t>Zeolite membrane premium over polymer membrane</t>
  </si>
  <si>
    <t>MEMB1</t>
  </si>
  <si>
    <t>Purchased</t>
  </si>
  <si>
    <t>The IEA upgrading cost assumes polymer membranes; this adds the extra cost of DDR zeolite modules (prices on Assumptions).</t>
  </si>
  <si>
    <t>Pyrolysis reactor tube, nickel alloy (2.12 m3)</t>
  </si>
  <si>
    <t>CH4PYRO</t>
  </si>
  <si>
    <t>Turton et al., Analysis, Synthesis and Design of Chemical Processes, 5th ed., Appendix A (2001 basis, CEPCI 394.3), constants as coded in github.com/weepctxb/ChemEngDPpy capex.py: log10 Cp = 3.4974 + 0.4485 log10 V + 0.1074 (log10 V)^2 (V in m3, 0.3-520), times Ni-alloy factor 7.1, CEPCI 2001 -&gt; 2024. Cross-check: a 10 mm Inconel tube of this size costed by shell mass with Towler &amp; Sinnott gives about 128,000 $.</t>
  </si>
  <si>
    <t>Cylindrical fired furnace (heats feed to 790 C and supplies reactor heat)</t>
  </si>
  <si>
    <t>HEAT2, CH4PYRO</t>
  </si>
  <si>
    <t>Towler &amp; Sinnott (2013), Chemical Engineering Design 2nd ed., Table 7.2 (US Gulf Coast, Jan 2010, CEPCI 532.9) and Table 7.6: cylindrical furnace Ce = 80,000 + 109,000 S^0.8 (S = duty in MW, valid 0.2-60 MW). Our duty (about 0.055 MW) is BELOW the valid range, so this is an extrapolation.</t>
  </si>
  <si>
    <t>Pyrolysis catalyst, initial charge</t>
  </si>
  <si>
    <t>Catalyst price is an assumption (Assumptions sheet).</t>
  </si>
  <si>
    <t>Solid carbon separation (cyclone + filter)</t>
  </si>
  <si>
    <t>(FINPROD)</t>
  </si>
  <si>
    <t>INDICATIVE ESTIMATE: no verified correlation found for this size. Replace with a vendor quote.</t>
  </si>
  <si>
    <t>Product gas cooler (790 C to ambient)</t>
  </si>
  <si>
    <t>Towler &amp; Sinnott (2013), Chemical Engineering Design 2nd ed., Table 7.2 (US Gulf Coast, Jan 2010, CEPCI 532.9) and Table 7.6: double pipe Ce = 1,900 + 2,500 A (A in m2, 1-80). Area is an assumption.</t>
  </si>
  <si>
    <t>Turnkey (installed) items, subtotal</t>
  </si>
  <si>
    <t>Already installed costs</t>
  </si>
  <si>
    <t>Owner costs on turnkey items</t>
  </si>
  <si>
    <t>IEA Task 37 (2015): +10-15 %</t>
  </si>
  <si>
    <t>Total purchased equipment cost (TPEC), purchased items</t>
  </si>
  <si>
    <t>Purchased-cost items only</t>
  </si>
  <si>
    <t>Total installed cost of purchased items (TIC)</t>
  </si>
  <si>
    <t>TIC = 302 % TPEC ([1] Table 4, [2] Table 5)</t>
  </si>
  <si>
    <t>Indirect cost of purchased items (IC)</t>
  </si>
  <si>
    <t>IC = 89 % TPEC</t>
  </si>
  <si>
    <t>Total direct and indirect cost (TDIC)</t>
  </si>
  <si>
    <t>Turnkey + owner costs + TIC + IC</t>
  </si>
  <si>
    <t>Contingency</t>
  </si>
  <si>
    <t>20 % of TDIC</t>
  </si>
  <si>
    <t>Fixed capital investment (FCI)</t>
  </si>
  <si>
    <t>TDIC + contingency</t>
  </si>
  <si>
    <t>Location factor</t>
  </si>
  <si>
    <t>10 % of FCI</t>
  </si>
  <si>
    <t>FCI + location factor</t>
  </si>
  <si>
    <t>Share of TPI from turnkey items (sourced from IEA data)</t>
  </si>
  <si>
    <t>How much of the investment rests on the IEA cost data</t>
  </si>
  <si>
    <t>Share of TPI resting on indicative (unsourced) estimates</t>
  </si>
  <si>
    <t>Carbon separation only</t>
  </si>
  <si>
    <t>Annual operating cost at steady state (year 3+, capacity factor 0.85), USD of the first operating year</t>
  </si>
  <si>
    <t>Quantity</t>
  </si>
  <si>
    <t>Cost (USD/yr)</t>
  </si>
  <si>
    <t>Basis</t>
  </si>
  <si>
    <t>Operating hours</t>
  </si>
  <si>
    <t>Calendar hours x capacity factor</t>
  </si>
  <si>
    <t>Electricity (upgrading + digester auxiliaries)</t>
  </si>
  <si>
    <t>kWh/yr</t>
  </si>
  <si>
    <t>Upgrading: larger of Aspen compressor power and IEA 0.2 kWh/Nm3; plus digester allowance; x hours x price</t>
  </si>
  <si>
    <t>Natural gas for digester heating</t>
  </si>
  <si>
    <t>GJ/yr</t>
  </si>
  <si>
    <t>(RSTOIC + B1 heat) x hours / efficiency</t>
  </si>
  <si>
    <t>Natural gas for 790 C heating and pyrolysis</t>
  </si>
  <si>
    <t>(HEAT2 + CH4PYRO heat) x hours / efficiency</t>
  </si>
  <si>
    <t>Cooling water</t>
  </si>
  <si>
    <t>Total cooling duty x hours x price</t>
  </si>
  <si>
    <t>Utilities subtotal</t>
  </si>
  <si>
    <t>Raw materials</t>
  </si>
  <si>
    <t>Process water</t>
  </si>
  <si>
    <t>m3/yr</t>
  </si>
  <si>
    <t>WATERIN x hours</t>
  </si>
  <si>
    <t>Biomass feed (wet)</t>
  </si>
  <si>
    <t>BIOMASS x hours x price</t>
  </si>
  <si>
    <t>Pyrolysis catalyst replacement</t>
  </si>
  <si>
    <t>kg/yr</t>
  </si>
  <si>
    <t>Charge x replacements per year</t>
  </si>
  <si>
    <t>Membrane replacement (annualised)</t>
  </si>
  <si>
    <t>m2/yr</t>
  </si>
  <si>
    <t>Area / life x price</t>
  </si>
  <si>
    <t>Raw materials subtotal</t>
  </si>
  <si>
    <t>Labour and maintenance</t>
  </si>
  <si>
    <t>FTE x salary</t>
  </si>
  <si>
    <t>3 % of TPI ([1] Table 5)</t>
  </si>
  <si>
    <t>Total operating cost (labour + maintenance + utilities + raw materials)</t>
  </si>
  <si>
    <t>Definition in [1] Table 5</t>
  </si>
  <si>
    <t>Operating charges</t>
  </si>
  <si>
    <t>25 % of operating labour</t>
  </si>
  <si>
    <t>Plant overhead</t>
  </si>
  <si>
    <t>50 % of labour + maintenance</t>
  </si>
  <si>
    <t>8 % of total operating cost</t>
  </si>
  <si>
    <t>TOTAL ANNUAL OPERATING COST</t>
  </si>
  <si>
    <t>By-product credits and product</t>
  </si>
  <si>
    <t>Solid carbon sold</t>
  </si>
  <si>
    <t>Carbon mass flow x hours x price</t>
  </si>
  <si>
    <t>Digestate</t>
  </si>
  <si>
    <t>LIQUID x hours x price</t>
  </si>
  <si>
    <t>Total by-product credits</t>
  </si>
  <si>
    <t>Hydrogen produced</t>
  </si>
  <si>
    <t>H2 mass flow x hours</t>
  </si>
  <si>
    <t>Net annual cost (operating cost - credits)</t>
  </si>
  <si>
    <t>Discounted cash flow: levelised cost of hydrogen at the IRR (method of [1], [2])</t>
  </si>
  <si>
    <t>Year 1-3 construction, year 4-23 operation. Capital, costs and credits are in 2024 dollars at year 1 and escalate by category from year 1. LCOH is the first operating-year (year 4, nominal) H2 price, escalating at the product rate, that gives NPV = 0 at the IRR. Because this price rises 5 %/yr it is not comparable with a flat-price LCOH; use the constant-dollar line on Summary for that.</t>
  </si>
  <si>
    <t>Year</t>
  </si>
  <si>
    <t>Phase</t>
  </si>
  <si>
    <t>Construction</t>
  </si>
  <si>
    <t>Operation</t>
  </si>
  <si>
    <t>Operating year #</t>
  </si>
  <si>
    <t>Construction share</t>
  </si>
  <si>
    <t>Capacity factor</t>
  </si>
  <si>
    <t>Discount factor</t>
  </si>
  <si>
    <t>Capital spend (escalated)</t>
  </si>
  <si>
    <t>Labour, maintenance, charges, overhead</t>
  </si>
  <si>
    <t>By-product credits</t>
  </si>
  <si>
    <t>Net cost</t>
  </si>
  <si>
    <t>Hydrogen (kg)</t>
  </si>
  <si>
    <t>Hydrogen x product escalation</t>
  </si>
  <si>
    <t>PV net cost</t>
  </si>
  <si>
    <t>PV capital</t>
  </si>
  <si>
    <t>PV H2 x escalation</t>
  </si>
  <si>
    <t>Present value of capital</t>
  </si>
  <si>
    <t>Present value of net operating cost</t>
  </si>
  <si>
    <t>Present value of H2 x escalation (kg)</t>
  </si>
  <si>
    <t>LCOH, first operating year (USD/kg H2, nominal year-4 dollars), escalating at product rate</t>
  </si>
  <si>
    <t>Capital share of LCOH</t>
  </si>
  <si>
    <t>Life-cycle energy and GHG (gate-to-gate, steady-state year)</t>
  </si>
  <si>
    <t>NER = renewable energy out / fossil energy in, as defined in [1] section 4.5. Biogenic CO2 is reported but not counted.</t>
  </si>
  <si>
    <t>Energy</t>
  </si>
  <si>
    <t>From OPEX</t>
  </si>
  <si>
    <t>Energy output: hydrogen (LHV)</t>
  </si>
  <si>
    <t>H2 x LHV</t>
  </si>
  <si>
    <t>Electricity used</t>
  </si>
  <si>
    <t>Fossil primary energy for electricity</t>
  </si>
  <si>
    <t>kWh x 0.0036 x primary energy factor</t>
  </si>
  <si>
    <t>Natural gas used (all heating)</t>
  </si>
  <si>
    <t>Total fossil energy input</t>
  </si>
  <si>
    <t>&gt; 1 means more renewable energy out than fossil energy in</t>
  </si>
  <si>
    <t>GHG emissions (kg CO2e/yr)</t>
  </si>
  <si>
    <t>Electricity</t>
  </si>
  <si>
    <t>kg CO2e/yr</t>
  </si>
  <si>
    <t>kWh x grid factor</t>
  </si>
  <si>
    <t>Natural gas (combustion + upstream)</t>
  </si>
  <si>
    <t>GJ x (56.1 + upstream)</t>
  </si>
  <si>
    <t>Carbon stored in solid product (as CO2)</t>
  </si>
  <si>
    <t>kg CO2/yr</t>
  </si>
  <si>
    <t>Carbon t/yr x 1000 x 44/12 (biogenic carbon)</t>
  </si>
  <si>
    <t>Credit for stored carbon (applied if switch = 1)</t>
  </si>
  <si>
    <t>Switch on Assumptions</t>
  </si>
  <si>
    <t>Net GHG</t>
  </si>
  <si>
    <t>GHG intensity</t>
  </si>
  <si>
    <t>GHG intensity without carbon credit</t>
  </si>
  <si>
    <t>GHG intensity with carbon credit</t>
  </si>
  <si>
    <t>If the carbon is permanently stored</t>
  </si>
  <si>
    <t>Biogenic flows (information only, not counted)</t>
  </si>
  <si>
    <t>CO2 in membrane permeate (vented or captured)</t>
  </si>
  <si>
    <t>Biogenic CO2 from the biogas</t>
  </si>
  <si>
    <t>CH4 slip in permeate</t>
  </si>
  <si>
    <t>Must be flared or used; CH4 is a strong GHG if vented</t>
  </si>
  <si>
    <t>GHG intensity if the permeate CH4 slip is vented (not flared)</t>
  </si>
  <si>
    <t>Sensitivity: slip x GWP100; base case assumes the permeate is flared or used</t>
  </si>
  <si>
    <t>CO in pyrolysis product</t>
  </si>
  <si>
    <t>Biogenic; becomes CO2 when burned</t>
  </si>
  <si>
    <t>Process data from the Aspen Plus model (run 2026-10-07 after C26/C27; pyrolysis outlet 2026-10-09 after C1/C2)</t>
  </si>
  <si>
    <t>Aspen Plus COM run 2026-10-09 after C1/C2 (R-1/R-2 reversible, outlet at equilibrium; docs/results_2026-10-07.md, update block 2026-10-09)</t>
  </si>
  <si>
    <t>Solid carbon formed (= methane converted)</t>
  </si>
  <si>
    <t>Aspen Plus COM run 2026-10-09 after C1/C2 (R-1/R-2 reversible, outlet at equilibrium; docs/results_2026-10-07.md, update block 2026-10-09) (CH4 converted 94.1 %; 0.0804 kmol/h CH4 leaves with the product gas)</t>
  </si>
  <si>
    <t>Aspen Plus COM run 2026-10-09 after C1/C2 (R-1/R-2 reversible, outlet at equilibrium; docs/results_2026-10-07.md, update block 2026-10-09) (CO2 in RET converted 84.8 %; 0.0633 kmol/h CO2 left)</t>
  </si>
  <si>
    <t>Formula = extents x reaction enthalpies (isothermal 790 C). Aspen COM run 2026-10-09 gives 35.44 kW for CH4PYRO (this formula: 35.2 kW)</t>
  </si>
  <si>
    <t>Process_Data: mass flows and energy duties from the Aspen run of 2026-10-07 (after C26/C27); pyrolysis outlet from the run of 2026-10-09 (after C1/C2).</t>
  </si>
  <si>
    <t>3. Process data come from the model as it stands. The pyrolysis outlet is at equilibrium since C1/C2 (2026-10-09); the Boudouard reaction is not modelled (C4, could raise H2 by up to about 11 %). See docs/fixes in the project.</t>
  </si>
  <si>
    <t>Screening estimate. Equipment costs are indicative (see CAPEX); process data from the Aspen runs of 2026-10-07 and 2026-10-09 (pyrolysis outlet).</t>
  </si>
  <si>
    <t>Hydrogen output +11 % (Boudouard reaction, if fast)</t>
  </si>
  <si>
    <t>C4 scratch test 2026-10-09: H2 2.210 -&gt; 2.453 kmol/h if C + CO2 -&gt; 2 CO is fast; ignores the lower carbon credit (-24 % carbon) and about 11 kW more reactor heat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</si>
</sst>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00\);\-"/>
    <numFmt numFmtId="165" formatCode="\$#,##0;\(\$#,##0\);\-"/>
    <numFmt numFmtId="166" formatCode="\$#,##0.00;\(\$#,##0.00\);\-"/>
    <numFmt numFmtId="167" formatCode="0.0000"/>
    <numFmt numFmtId="168" formatCode="0.0%;\(0.0%\);\-"/>
    <numFmt numFmtId="169" formatCode="#,##0.000;\(#,##0.000\);\-"/>
    <numFmt numFmtId="170" formatCode="#,##0;\(#,##0\);\-"/>
    <numFmt numFmtId="171" formatCode="\$0.000"/>
    <numFmt numFmtId="172" formatCode="\$0.00"/>
    <numFmt numFmtId="173" formatCode="0.0"/>
    <numFmt numFmtId="174" formatCode="0.000"/>
  </numFmts>
  <fonts count="13" x14ac:knownFonts="1">
    <font>
      <sz val="11"/>
      <color theme="1"/>
      <name val="Calibri"/>
      <family val="2"/>
      <scheme val="minor"/>
    </font>
    <font>
      <b/>
      <sz val="14"/>
      <name val="Arial"/>
    </font>
    <font>
      <sz val="10"/>
      <color rgb="FF000000"/>
      <name val="Arial"/>
    </font>
    <font>
      <b/>
      <sz val="10"/>
      <name val="Arial"/>
    </font>
    <font>
      <i/>
      <sz val="11"/>
      <name val="Arial"/>
    </font>
    <font>
      <b/>
      <sz val="11"/>
      <color rgb="FFFFFFFF"/>
      <name val="Arial"/>
    </font>
    <font>
      <sz val="11"/>
      <color rgb="FF000000"/>
      <name val="Arial"/>
    </font>
    <font>
      <sz val="11"/>
      <color rgb="FF008000"/>
      <name val="Arial"/>
    </font>
    <font>
      <b/>
      <sz val="11"/>
      <color rgb="FF000000"/>
      <name val="Arial"/>
    </font>
    <font>
      <b/>
      <sz val="11"/>
      <color rgb="FF008000"/>
      <name val="Arial"/>
    </font>
    <font>
      <b/>
      <sz val="12"/>
      <name val="Arial"/>
    </font>
    <font>
      <sz val="11"/>
      <color rgb="FF0000FF"/>
      <name val="Arial"/>
    </font>
    <font>
      <b/>
      <sz val="11"/>
      <name val="Arial"/>
    </font>
  </fonts>
  <fills count="5">
    <fill>
      <patternFill patternType="none"/>
    </fill>
    <fill>
      <patternFill patternType="gray125"/>
    </fill>
    <fill>
      <patternFill patternType="none"/>
    </fill>
    <fill>
      <patternFill patternType="solid">
        <fgColor rgb="FF1F4E78"/>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8">
    <xf numFmtId="0" fontId="0" fillId="0" borderId="0" xfId="0"/>
    <xf numFmtId="0" fontId="1" fillId="2" borderId="0" xfId="0" applyFont="1" applyFill="1" applyAlignment="1">
      <alignment wrapText="1"/>
    </xf>
    <xf numFmtId="0" fontId="2" fillId="2" borderId="0" xfId="0" applyFont="1" applyFill="1" applyAlignment="1">
      <alignment wrapText="1"/>
    </xf>
    <xf numFmtId="0" fontId="3" fillId="2" borderId="0" xfId="0" applyFont="1" applyFill="1" applyAlignment="1">
      <alignment wrapText="1"/>
    </xf>
    <xf numFmtId="0" fontId="1" fillId="2" borderId="1" xfId="0" applyFont="1" applyFill="1" applyBorder="1"/>
    <xf numFmtId="0" fontId="4" fillId="2" borderId="1" xfId="0" applyFont="1" applyFill="1" applyBorder="1"/>
    <xf numFmtId="0" fontId="5" fillId="3" borderId="1" xfId="0" applyFont="1" applyFill="1" applyBorder="1" applyAlignment="1">
      <alignment vertical="center" wrapText="1"/>
    </xf>
    <xf numFmtId="0" fontId="6" fillId="2" borderId="1" xfId="0" applyFont="1" applyFill="1" applyBorder="1"/>
    <xf numFmtId="164" fontId="7" fillId="2" borderId="1" xfId="0" applyNumberFormat="1" applyFont="1" applyFill="1" applyBorder="1"/>
    <xf numFmtId="0" fontId="6" fillId="2" borderId="1" xfId="0" applyFont="1" applyFill="1" applyBorder="1" applyAlignment="1">
      <alignment wrapText="1"/>
    </xf>
    <xf numFmtId="165" fontId="7" fillId="2" borderId="1" xfId="0" applyNumberFormat="1" applyFont="1" applyFill="1" applyBorder="1"/>
    <xf numFmtId="0" fontId="8" fillId="2" borderId="1" xfId="0" applyFont="1" applyFill="1" applyBorder="1"/>
    <xf numFmtId="165" fontId="9" fillId="2" borderId="1" xfId="0" applyNumberFormat="1" applyFont="1" applyFill="1" applyBorder="1"/>
    <xf numFmtId="166" fontId="9" fillId="4" borderId="1" xfId="0" applyNumberFormat="1" applyFont="1" applyFill="1" applyBorder="1"/>
    <xf numFmtId="167" fontId="7" fillId="2" borderId="1" xfId="0" applyNumberFormat="1" applyFont="1" applyFill="1" applyBorder="1"/>
    <xf numFmtId="166" fontId="7" fillId="2" borderId="1" xfId="0" applyNumberFormat="1" applyFont="1" applyFill="1" applyBorder="1"/>
    <xf numFmtId="2" fontId="9" fillId="2" borderId="1" xfId="0" applyNumberFormat="1" applyFont="1" applyFill="1" applyBorder="1"/>
    <xf numFmtId="164" fontId="9" fillId="2" borderId="1" xfId="0" applyNumberFormat="1" applyFont="1" applyFill="1" applyBorder="1"/>
    <xf numFmtId="168" fontId="6" fillId="2" borderId="1" xfId="0" applyNumberFormat="1" applyFont="1" applyFill="1" applyBorder="1"/>
    <xf numFmtId="165" fontId="8" fillId="2" borderId="1" xfId="0" applyNumberFormat="1" applyFont="1" applyFill="1" applyBorder="1"/>
    <xf numFmtId="166" fontId="6" fillId="2" borderId="1" xfId="0" applyNumberFormat="1" applyFont="1" applyFill="1" applyBorder="1"/>
    <xf numFmtId="0" fontId="10" fillId="2" borderId="1" xfId="0" applyFont="1" applyFill="1" applyBorder="1"/>
    <xf numFmtId="169" fontId="11" fillId="2" borderId="1" xfId="0" applyNumberFormat="1" applyFont="1" applyFill="1" applyBorder="1"/>
    <xf numFmtId="167" fontId="11" fillId="2" borderId="1" xfId="0" applyNumberFormat="1" applyFont="1" applyFill="1" applyBorder="1"/>
    <xf numFmtId="169" fontId="6" fillId="2" borderId="1" xfId="0" applyNumberFormat="1" applyFont="1" applyFill="1" applyBorder="1"/>
    <xf numFmtId="167" fontId="11" fillId="4" borderId="1" xfId="0" applyNumberFormat="1" applyFont="1" applyFill="1" applyBorder="1"/>
    <xf numFmtId="169" fontId="6" fillId="4" borderId="1" xfId="0" applyNumberFormat="1" applyFont="1" applyFill="1" applyBorder="1"/>
    <xf numFmtId="170" fontId="11" fillId="2" borderId="1" xfId="0" applyNumberFormat="1" applyFont="1" applyFill="1" applyBorder="1"/>
    <xf numFmtId="2" fontId="11" fillId="2" borderId="1" xfId="0" applyNumberFormat="1" applyFont="1" applyFill="1" applyBorder="1"/>
    <xf numFmtId="168" fontId="11" fillId="2" borderId="1" xfId="0" applyNumberFormat="1" applyFont="1" applyFill="1" applyBorder="1"/>
    <xf numFmtId="164" fontId="11" fillId="2" borderId="1" xfId="0" applyNumberFormat="1" applyFont="1" applyFill="1" applyBorder="1"/>
    <xf numFmtId="171" fontId="11" fillId="2" borderId="1" xfId="0" applyNumberFormat="1" applyFont="1" applyFill="1" applyBorder="1"/>
    <xf numFmtId="166" fontId="11" fillId="2" borderId="1" xfId="0" applyNumberFormat="1" applyFont="1" applyFill="1" applyBorder="1"/>
    <xf numFmtId="172" fontId="6" fillId="2" borderId="1" xfId="0" applyNumberFormat="1" applyFont="1" applyFill="1" applyBorder="1"/>
    <xf numFmtId="2" fontId="11" fillId="4" borderId="1" xfId="0" applyNumberFormat="1" applyFont="1" applyFill="1" applyBorder="1"/>
    <xf numFmtId="166" fontId="11" fillId="4" borderId="1" xfId="0" applyNumberFormat="1" applyFont="1" applyFill="1" applyBorder="1"/>
    <xf numFmtId="164" fontId="11" fillId="4" borderId="1" xfId="0" applyNumberFormat="1" applyFont="1" applyFill="1" applyBorder="1"/>
    <xf numFmtId="170" fontId="11" fillId="4" borderId="1" xfId="0" applyNumberFormat="1" applyFont="1" applyFill="1" applyBorder="1"/>
    <xf numFmtId="165" fontId="11" fillId="2" borderId="1" xfId="0" applyNumberFormat="1" applyFont="1" applyFill="1" applyBorder="1"/>
    <xf numFmtId="173" fontId="11" fillId="2" borderId="1" xfId="0" applyNumberFormat="1" applyFont="1" applyFill="1" applyBorder="1"/>
    <xf numFmtId="174" fontId="11" fillId="2" borderId="1" xfId="0" applyNumberFormat="1" applyFont="1" applyFill="1" applyBorder="1"/>
    <xf numFmtId="168" fontId="11" fillId="4" borderId="1" xfId="0" applyNumberFormat="1" applyFont="1" applyFill="1" applyBorder="1"/>
    <xf numFmtId="0" fontId="7" fillId="2" borderId="1" xfId="0" applyFont="1" applyFill="1" applyBorder="1" applyAlignment="1">
      <alignment wrapText="1"/>
    </xf>
    <xf numFmtId="165" fontId="11" fillId="4" borderId="1" xfId="0" applyNumberFormat="1" applyFont="1" applyFill="1" applyBorder="1"/>
    <xf numFmtId="165" fontId="6" fillId="2" borderId="1" xfId="0" applyNumberFormat="1" applyFont="1" applyFill="1" applyBorder="1"/>
    <xf numFmtId="170" fontId="6" fillId="2" borderId="1" xfId="0" applyNumberFormat="1" applyFont="1" applyFill="1" applyBorder="1"/>
    <xf numFmtId="0" fontId="12" fillId="2" borderId="1" xfId="0" applyFont="1" applyFill="1" applyBorder="1"/>
    <xf numFmtId="1" fontId="6" fillId="2" borderId="1" xfId="0" applyNumberFormat="1" applyFont="1" applyFill="1" applyBorder="1"/>
    <xf numFmtId="49" fontId="6" fillId="2" borderId="1" xfId="0" applyNumberFormat="1" applyFont="1" applyFill="1" applyBorder="1"/>
    <xf numFmtId="168" fontId="7" fillId="2" borderId="1" xfId="0" applyNumberFormat="1" applyFont="1" applyFill="1" applyBorder="1"/>
    <xf numFmtId="2" fontId="6" fillId="2" borderId="1" xfId="0" applyNumberFormat="1" applyFont="1" applyFill="1" applyBorder="1"/>
    <xf numFmtId="167" fontId="6" fillId="2" borderId="1" xfId="0" applyNumberFormat="1" applyFont="1" applyFill="1" applyBorder="1"/>
    <xf numFmtId="166" fontId="8" fillId="4" borderId="1" xfId="0" applyNumberFormat="1" applyFont="1" applyFill="1" applyBorder="1"/>
    <xf numFmtId="170" fontId="7" fillId="2" borderId="1" xfId="0" applyNumberFormat="1" applyFont="1" applyFill="1" applyBorder="1"/>
    <xf numFmtId="170" fontId="8" fillId="2" borderId="1" xfId="0" applyNumberFormat="1" applyFont="1" applyFill="1" applyBorder="1"/>
    <xf numFmtId="2" fontId="8" fillId="2" borderId="1" xfId="0" applyNumberFormat="1" applyFont="1" applyFill="1" applyBorder="1"/>
    <xf numFmtId="164" fontId="8" fillId="2" borderId="1" xfId="0" applyNumberFormat="1" applyFont="1" applyFill="1" applyBorder="1"/>
    <xf numFmtId="164" fontId="6" fillId="2" borderId="1"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8"/>
  <sheetViews>
    <sheetView showGridLines="0" tabSelected="1" zoomScaleNormal="100" workbookViewId="0"/>
  </sheetViews>
  <sheetFormatPr defaultRowHeight="15" x14ac:dyDescent="0.25"/>
  <cols>
    <col min="1" max="1" width="110" customWidth="1"/>
  </cols>
  <sheetData>
    <row r="1" spans="1:1" ht="18" x14ac:dyDescent="0.25">
      <c r="A1" s="1" t="s">
        <v>0</v>
      </c>
    </row>
    <row r="2" spans="1:1" ht="26.25" x14ac:dyDescent="0.25">
      <c r="A2" s="2" t="s">
        <v>1</v>
      </c>
    </row>
    <row r="3" spans="1:1" x14ac:dyDescent="0.25">
      <c r="A3" s="2"/>
    </row>
    <row r="4" spans="1:1" x14ac:dyDescent="0.25">
      <c r="A4" s="3" t="s">
        <v>2</v>
      </c>
    </row>
    <row r="5" spans="1:1" ht="26.25" x14ac:dyDescent="0.25">
      <c r="A5" s="2" t="s">
        <v>3</v>
      </c>
    </row>
    <row r="6" spans="1:1" ht="26.25" x14ac:dyDescent="0.25">
      <c r="A6" s="2" t="s">
        <v>4</v>
      </c>
    </row>
    <row r="7" spans="1:1" x14ac:dyDescent="0.25">
      <c r="A7" s="2"/>
    </row>
    <row r="8" spans="1:1" x14ac:dyDescent="0.25">
      <c r="A8" s="3" t="s">
        <v>5</v>
      </c>
    </row>
    <row r="9" spans="1:1" x14ac:dyDescent="0.25">
      <c r="A9" s="2" t="s">
        <v>6</v>
      </c>
    </row>
    <row r="10" spans="1:1" x14ac:dyDescent="0.25">
      <c r="A10" s="2" t="s">
        <v>7</v>
      </c>
    </row>
    <row r="11" spans="1:1" x14ac:dyDescent="0.25">
      <c r="A11" s="2" t="s">
        <v>8</v>
      </c>
    </row>
    <row r="12" spans="1:1" x14ac:dyDescent="0.25">
      <c r="A12" s="2"/>
    </row>
    <row r="13" spans="1:1" x14ac:dyDescent="0.25">
      <c r="A13" s="3" t="s">
        <v>9</v>
      </c>
    </row>
    <row r="14" spans="1:1" ht="26.25" x14ac:dyDescent="0.25">
      <c r="A14" s="2" t="s">
        <v>490</v>
      </c>
    </row>
    <row r="15" spans="1:1" x14ac:dyDescent="0.25">
      <c r="A15" s="2" t="s">
        <v>10</v>
      </c>
    </row>
    <row r="16" spans="1:1" x14ac:dyDescent="0.25">
      <c r="A16" s="2" t="s">
        <v>11</v>
      </c>
    </row>
    <row r="17" spans="1:1" x14ac:dyDescent="0.25">
      <c r="A17" s="2" t="s">
        <v>12</v>
      </c>
    </row>
    <row r="18" spans="1:1" x14ac:dyDescent="0.25">
      <c r="A18" s="2" t="s">
        <v>13</v>
      </c>
    </row>
    <row r="19" spans="1:1" ht="26.25" x14ac:dyDescent="0.25">
      <c r="A19" s="2" t="s">
        <v>14</v>
      </c>
    </row>
    <row r="20" spans="1:1" x14ac:dyDescent="0.25">
      <c r="A20" s="2" t="s">
        <v>15</v>
      </c>
    </row>
    <row r="21" spans="1:1" x14ac:dyDescent="0.25">
      <c r="A21" s="2"/>
    </row>
    <row r="22" spans="1:1" x14ac:dyDescent="0.25">
      <c r="A22" s="3" t="s">
        <v>16</v>
      </c>
    </row>
    <row r="23" spans="1:1" ht="51.75" x14ac:dyDescent="0.25">
      <c r="A23" s="2" t="s">
        <v>17</v>
      </c>
    </row>
    <row r="24" spans="1:1" ht="26.25" x14ac:dyDescent="0.25">
      <c r="A24" s="2" t="s">
        <v>18</v>
      </c>
    </row>
    <row r="25" spans="1:1" ht="26.25" x14ac:dyDescent="0.25">
      <c r="A25" s="2" t="s">
        <v>19</v>
      </c>
    </row>
    <row r="26" spans="1:1" ht="39" x14ac:dyDescent="0.25">
      <c r="A26" s="2" t="s">
        <v>20</v>
      </c>
    </row>
    <row r="27" spans="1:1" x14ac:dyDescent="0.25">
      <c r="A27" s="2"/>
    </row>
    <row r="28" spans="1:1" x14ac:dyDescent="0.25">
      <c r="A28" s="3" t="s">
        <v>21</v>
      </c>
    </row>
    <row r="29" spans="1:1" ht="51.75" x14ac:dyDescent="0.25">
      <c r="A29" s="2" t="s">
        <v>22</v>
      </c>
    </row>
    <row r="30" spans="1:1" ht="26.25" x14ac:dyDescent="0.25">
      <c r="A30" s="2" t="s">
        <v>23</v>
      </c>
    </row>
    <row r="31" spans="1:1" ht="26.25" x14ac:dyDescent="0.25">
      <c r="A31" s="2" t="s">
        <v>491</v>
      </c>
    </row>
    <row r="32" spans="1:1" ht="26.25" x14ac:dyDescent="0.25">
      <c r="A32" s="2" t="s">
        <v>24</v>
      </c>
    </row>
    <row r="33" spans="1:1" ht="26.25" x14ac:dyDescent="0.25">
      <c r="A33" s="2" t="s">
        <v>25</v>
      </c>
    </row>
    <row r="34" spans="1:1" ht="26.25" x14ac:dyDescent="0.25">
      <c r="A34" s="2" t="s">
        <v>26</v>
      </c>
    </row>
    <row r="35" spans="1:1" x14ac:dyDescent="0.25">
      <c r="A35" s="2"/>
    </row>
    <row r="36" spans="1:1" x14ac:dyDescent="0.25">
      <c r="A36" s="3" t="s">
        <v>27</v>
      </c>
    </row>
    <row r="37" spans="1:1" ht="26.25" x14ac:dyDescent="0.25">
      <c r="A37" s="2" t="s">
        <v>28</v>
      </c>
    </row>
    <row r="38" spans="1:1" ht="26.25" x14ac:dyDescent="0.25">
      <c r="A38" s="2" t="s">
        <v>29</v>
      </c>
    </row>
    <row r="39" spans="1:1" ht="26.25" x14ac:dyDescent="0.25">
      <c r="A39" s="2" t="s">
        <v>30</v>
      </c>
    </row>
    <row r="40" spans="1:1" x14ac:dyDescent="0.25">
      <c r="A40" s="2" t="s">
        <v>31</v>
      </c>
    </row>
    <row r="41" spans="1:1" ht="26.25" x14ac:dyDescent="0.25">
      <c r="A41" s="2" t="s">
        <v>32</v>
      </c>
    </row>
    <row r="42" spans="1:1" x14ac:dyDescent="0.25">
      <c r="A42" s="2" t="s">
        <v>33</v>
      </c>
    </row>
    <row r="43" spans="1:1" ht="26.25" x14ac:dyDescent="0.25">
      <c r="A43" s="2" t="s">
        <v>34</v>
      </c>
    </row>
    <row r="44" spans="1:1" ht="26.25" x14ac:dyDescent="0.25">
      <c r="A44" s="2" t="s">
        <v>35</v>
      </c>
    </row>
    <row r="45" spans="1:1" x14ac:dyDescent="0.25">
      <c r="A45" s="2" t="s">
        <v>36</v>
      </c>
    </row>
    <row r="46" spans="1:1" x14ac:dyDescent="0.25">
      <c r="A46" s="2" t="s">
        <v>37</v>
      </c>
    </row>
    <row r="47" spans="1:1" x14ac:dyDescent="0.25">
      <c r="A47" s="2" t="s">
        <v>38</v>
      </c>
    </row>
    <row r="48" spans="1:1" ht="26.25" x14ac:dyDescent="0.25">
      <c r="A48" s="2" t="s">
        <v>39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showGridLines="0" zoomScaleNormal="100" workbookViewId="0"/>
  </sheetViews>
  <sheetFormatPr defaultRowHeight="15" x14ac:dyDescent="0.25"/>
  <cols>
    <col min="1" max="1" width="56" customWidth="1"/>
    <col min="2" max="2" width="18" customWidth="1"/>
    <col min="3" max="3" width="16" customWidth="1"/>
    <col min="4" max="4" width="60" customWidth="1"/>
  </cols>
  <sheetData>
    <row r="1" spans="1:4" ht="18" x14ac:dyDescent="0.25">
      <c r="A1" s="4" t="s">
        <v>40</v>
      </c>
    </row>
    <row r="2" spans="1:4" x14ac:dyDescent="0.25">
      <c r="A2" s="5" t="s">
        <v>492</v>
      </c>
    </row>
    <row r="4" spans="1:4" x14ac:dyDescent="0.25">
      <c r="A4" s="6" t="s">
        <v>41</v>
      </c>
      <c r="B4" s="6" t="s">
        <v>42</v>
      </c>
      <c r="C4" s="6" t="s">
        <v>43</v>
      </c>
      <c r="D4" s="6" t="s">
        <v>44</v>
      </c>
    </row>
    <row r="5" spans="1:4" x14ac:dyDescent="0.25">
      <c r="A5" s="7" t="s">
        <v>45</v>
      </c>
      <c r="B5" s="8">
        <f>OPEX!$B$30/1000</f>
        <v>33.172635880800001</v>
      </c>
      <c r="C5" s="7" t="s">
        <v>46</v>
      </c>
      <c r="D5" s="9" t="s">
        <v>47</v>
      </c>
    </row>
    <row r="6" spans="1:4" x14ac:dyDescent="0.25">
      <c r="A6" s="7" t="s">
        <v>48</v>
      </c>
      <c r="B6" s="8">
        <f>OPEX!$B$27</f>
        <v>114.39490916459998</v>
      </c>
      <c r="C6" s="7" t="s">
        <v>46</v>
      </c>
      <c r="D6" s="9"/>
    </row>
    <row r="7" spans="1:4" x14ac:dyDescent="0.25">
      <c r="A7" s="7" t="s">
        <v>49</v>
      </c>
      <c r="B7" s="10">
        <f>CAPEX!$F$14</f>
        <v>1246406.0249366681</v>
      </c>
      <c r="C7" s="7" t="s">
        <v>50</v>
      </c>
      <c r="D7" s="9" t="s">
        <v>51</v>
      </c>
    </row>
    <row r="8" spans="1:4" x14ac:dyDescent="0.25">
      <c r="A8" s="7" t="s">
        <v>52</v>
      </c>
      <c r="B8" s="10">
        <f>CAPEX!$F$16</f>
        <v>252281.74402076486</v>
      </c>
      <c r="C8" s="7" t="s">
        <v>50</v>
      </c>
      <c r="D8" s="9" t="s">
        <v>53</v>
      </c>
    </row>
    <row r="9" spans="1:4" x14ac:dyDescent="0.25">
      <c r="A9" s="11" t="s">
        <v>54</v>
      </c>
      <c r="B9" s="12">
        <f>CAPEX!$F$23</f>
        <v>3152989.4842709242</v>
      </c>
      <c r="C9" s="7" t="s">
        <v>50</v>
      </c>
      <c r="D9" s="9" t="s">
        <v>55</v>
      </c>
    </row>
    <row r="10" spans="1:4" x14ac:dyDescent="0.25">
      <c r="A10" s="7" t="s">
        <v>56</v>
      </c>
      <c r="B10" s="10">
        <f>OPEX!$D$24</f>
        <v>466790.8805991892</v>
      </c>
      <c r="C10" s="7" t="s">
        <v>57</v>
      </c>
      <c r="D10" s="9"/>
    </row>
    <row r="11" spans="1:4" x14ac:dyDescent="0.25">
      <c r="A11" s="7" t="s">
        <v>58</v>
      </c>
      <c r="B11" s="10">
        <f>OPEX!$D$29</f>
        <v>11439.490916459998</v>
      </c>
      <c r="C11" s="7" t="s">
        <v>57</v>
      </c>
      <c r="D11" s="9" t="s">
        <v>59</v>
      </c>
    </row>
    <row r="12" spans="1:4" ht="29.25" x14ac:dyDescent="0.25">
      <c r="A12" s="11" t="s">
        <v>60</v>
      </c>
      <c r="B12" s="13">
        <f>DCF!$B$26</f>
        <v>22.255017685019009</v>
      </c>
      <c r="C12" s="7" t="s">
        <v>61</v>
      </c>
      <c r="D12" s="9" t="s">
        <v>62</v>
      </c>
    </row>
    <row r="13" spans="1:4" x14ac:dyDescent="0.25">
      <c r="A13" s="7" t="s">
        <v>63</v>
      </c>
      <c r="B13" s="14">
        <f>(Assumptions!$B$10*(1+Assumptions!$B$10)^Assumptions!$B$9/((1+Assumptions!$B$10)^Assumptions!$B$9-1))</f>
        <v>0.11745962477254576</v>
      </c>
      <c r="C13" s="7" t="s">
        <v>64</v>
      </c>
      <c r="D13" s="9" t="s">
        <v>65</v>
      </c>
    </row>
    <row r="14" spans="1:4" x14ac:dyDescent="0.25">
      <c r="A14" s="7" t="s">
        <v>66</v>
      </c>
      <c r="B14" s="15">
        <f>(B13*B9+B10-B11)/OPEX!$B$30</f>
        <v>24.891008190726318</v>
      </c>
      <c r="C14" s="7" t="s">
        <v>61</v>
      </c>
      <c r="D14" s="9" t="s">
        <v>67</v>
      </c>
    </row>
    <row r="15" spans="1:4" x14ac:dyDescent="0.25">
      <c r="A15" s="11" t="s">
        <v>68</v>
      </c>
      <c r="B15" s="16">
        <f>LCA!$B$12</f>
        <v>1.1067860027130403</v>
      </c>
      <c r="C15" s="7" t="s">
        <v>64</v>
      </c>
      <c r="D15" s="9" t="s">
        <v>69</v>
      </c>
    </row>
    <row r="16" spans="1:4" x14ac:dyDescent="0.25">
      <c r="A16" s="11" t="s">
        <v>70</v>
      </c>
      <c r="B16" s="17">
        <f>LCA!$B$20</f>
        <v>6.5414331481297072</v>
      </c>
      <c r="C16" s="7" t="s">
        <v>71</v>
      </c>
      <c r="D16" s="9" t="s">
        <v>72</v>
      </c>
    </row>
    <row r="18" spans="1:4" x14ac:dyDescent="0.25">
      <c r="A18" s="11" t="s">
        <v>73</v>
      </c>
    </row>
    <row r="19" spans="1:4" x14ac:dyDescent="0.25">
      <c r="A19" s="6" t="s">
        <v>74</v>
      </c>
      <c r="B19" s="6" t="s">
        <v>57</v>
      </c>
      <c r="C19" s="6" t="s">
        <v>75</v>
      </c>
      <c r="D19" s="6"/>
    </row>
    <row r="20" spans="1:4" x14ac:dyDescent="0.25">
      <c r="A20" s="7" t="s">
        <v>76</v>
      </c>
      <c r="B20" s="10">
        <f>B13*B9</f>
        <v>370348.96173424536</v>
      </c>
      <c r="C20" s="18">
        <f t="shared" ref="C20:C27" si="0">B20/B$28</f>
        <v>0.4485270729250555</v>
      </c>
    </row>
    <row r="21" spans="1:4" x14ac:dyDescent="0.25">
      <c r="A21" s="7" t="s">
        <v>77</v>
      </c>
      <c r="B21" s="10">
        <f>OPEX!$D$10</f>
        <v>17616.450287703199</v>
      </c>
      <c r="C21" s="18">
        <f t="shared" si="0"/>
        <v>2.1335161426868494E-2</v>
      </c>
    </row>
    <row r="22" spans="1:4" x14ac:dyDescent="0.25">
      <c r="A22" s="7" t="s">
        <v>78</v>
      </c>
      <c r="B22" s="10">
        <f>OPEX!$D$16</f>
        <v>5003.3451241000002</v>
      </c>
      <c r="C22" s="18">
        <f t="shared" si="0"/>
        <v>6.0595167672071572E-3</v>
      </c>
    </row>
    <row r="23" spans="1:4" x14ac:dyDescent="0.25">
      <c r="A23" s="7" t="s">
        <v>79</v>
      </c>
      <c r="B23" s="10">
        <f>OPEX!$D$18</f>
        <v>160060</v>
      </c>
      <c r="C23" s="18">
        <f t="shared" si="0"/>
        <v>0.19384756192161348</v>
      </c>
    </row>
    <row r="24" spans="1:4" x14ac:dyDescent="0.25">
      <c r="A24" s="7" t="s">
        <v>80</v>
      </c>
      <c r="B24" s="10">
        <f>OPEX!$D$19</f>
        <v>94589.68452812772</v>
      </c>
      <c r="C24" s="18">
        <f t="shared" si="0"/>
        <v>0.11455691446152769</v>
      </c>
    </row>
    <row r="25" spans="1:4" x14ac:dyDescent="0.25">
      <c r="A25" s="7" t="s">
        <v>81</v>
      </c>
      <c r="B25" s="10">
        <f>OPEX!$D$21+OPEX!$D$22</f>
        <v>167339.84226406386</v>
      </c>
      <c r="C25" s="18">
        <f t="shared" si="0"/>
        <v>0.20266412867197395</v>
      </c>
    </row>
    <row r="26" spans="1:4" x14ac:dyDescent="0.25">
      <c r="A26" s="7" t="s">
        <v>82</v>
      </c>
      <c r="B26" s="10">
        <f>OPEX!$D$23</f>
        <v>22181.558395194472</v>
      </c>
      <c r="C26" s="18">
        <f t="shared" si="0"/>
        <v>2.6863932366177342E-2</v>
      </c>
    </row>
    <row r="27" spans="1:4" x14ac:dyDescent="0.25">
      <c r="A27" s="7" t="s">
        <v>83</v>
      </c>
      <c r="B27" s="10">
        <f>-B11</f>
        <v>-11439.490916459998</v>
      </c>
      <c r="C27" s="18">
        <f t="shared" si="0"/>
        <v>-1.3854288540423679E-2</v>
      </c>
    </row>
    <row r="28" spans="1:4" x14ac:dyDescent="0.25">
      <c r="A28" s="11" t="s">
        <v>84</v>
      </c>
      <c r="B28" s="19">
        <f>SUM(B20:B27)</f>
        <v>825700.35141697468</v>
      </c>
      <c r="C28" s="18">
        <f>SUM(C20:C27)</f>
        <v>0.99999999999999989</v>
      </c>
    </row>
    <row r="29" spans="1:4" x14ac:dyDescent="0.25">
      <c r="A29" s="7" t="s">
        <v>85</v>
      </c>
      <c r="B29" s="20">
        <f>B28/OPEX!$B$30</f>
        <v>24.891008190726321</v>
      </c>
    </row>
    <row r="31" spans="1:4" x14ac:dyDescent="0.25">
      <c r="A31" s="11" t="s">
        <v>86</v>
      </c>
    </row>
    <row r="32" spans="1:4" ht="30" x14ac:dyDescent="0.25">
      <c r="A32" s="6" t="s">
        <v>87</v>
      </c>
      <c r="B32" s="6" t="s">
        <v>88</v>
      </c>
      <c r="C32" s="6" t="s">
        <v>89</v>
      </c>
      <c r="D32" s="6" t="s">
        <v>90</v>
      </c>
    </row>
    <row r="33" spans="1:4" x14ac:dyDescent="0.25">
      <c r="A33" s="7" t="s">
        <v>91</v>
      </c>
      <c r="B33" s="20">
        <f>B14</f>
        <v>24.891008190726318</v>
      </c>
      <c r="C33" s="18">
        <f>B33/B14-1</f>
        <v>0</v>
      </c>
      <c r="D33" s="9" t="s">
        <v>92</v>
      </c>
    </row>
    <row r="34" spans="1:4" ht="29.25" x14ac:dyDescent="0.25">
      <c r="A34" s="7" t="s">
        <v>93</v>
      </c>
      <c r="B34" s="20">
        <f>B14+(-0.3*B13*B9-0.3*OPEX!$D$19*(1+Assumptions!$B$28+Assumptions!$B$29))/OPEX!$B$30</f>
        <v>20.190139693361512</v>
      </c>
      <c r="C34" s="18">
        <f>B34/B14-1</f>
        <v>-0.18885809933228082</v>
      </c>
      <c r="D34" s="9" t="s">
        <v>94</v>
      </c>
    </row>
    <row r="35" spans="1:4" x14ac:dyDescent="0.25">
      <c r="A35" s="7" t="s">
        <v>95</v>
      </c>
      <c r="B35" s="20">
        <f>B14+(0.3*B13*B9+0.3*OPEX!$D$19*(1+Assumptions!$B$28+Assumptions!$B$29))/OPEX!$B$30</f>
        <v>29.591876688091123</v>
      </c>
      <c r="C35" s="18">
        <f>B35/B14-1</f>
        <v>0.18885809933228082</v>
      </c>
      <c r="D35" s="9" t="s">
        <v>96</v>
      </c>
    </row>
    <row r="36" spans="1:4" x14ac:dyDescent="0.25">
      <c r="A36" s="7" t="s">
        <v>97</v>
      </c>
      <c r="B36" s="20">
        <f>B14+(OPEX!$D$7+OPEX!$D$8)*(1+Assumptions!$B$29)/OPEX!$B$30</f>
        <v>25.213415078320562</v>
      </c>
      <c r="C36" s="18">
        <f>B36/B14-1</f>
        <v>1.2952745229273699E-2</v>
      </c>
      <c r="D36" s="9" t="s">
        <v>98</v>
      </c>
    </row>
    <row r="37" spans="1:4" x14ac:dyDescent="0.25">
      <c r="A37" s="7" t="s">
        <v>99</v>
      </c>
      <c r="B37" s="20">
        <f>B14+OPEX!$D$6*(1+Assumptions!$B$29)/OPEX!$B$30</f>
        <v>25.138754910838671</v>
      </c>
      <c r="C37" s="18">
        <f>B37/B14-1</f>
        <v>9.9532617648110389E-3</v>
      </c>
      <c r="D37" s="9" t="s">
        <v>100</v>
      </c>
    </row>
    <row r="38" spans="1:4" x14ac:dyDescent="0.25">
      <c r="A38" s="7" t="s">
        <v>101</v>
      </c>
      <c r="B38" s="20">
        <f>B14-0.5*OPEX!$D$18*(1+Assumptions!$B$27+Assumptions!$B$28+Assumptions!$B$29)/OPEX!$B$30</f>
        <v>20.476077145564282</v>
      </c>
      <c r="C38" s="18">
        <f>B38/B14-1</f>
        <v>-0.17737051915827629</v>
      </c>
      <c r="D38" s="9" t="s">
        <v>102</v>
      </c>
    </row>
    <row r="39" spans="1:4" ht="29.25" x14ac:dyDescent="0.25">
      <c r="A39" s="7" t="s">
        <v>103</v>
      </c>
      <c r="B39" s="20">
        <f>B14-OPEX!$B$27*(1200-Assumptions!$B$49)/OPEX!$B$30</f>
        <v>21.09768888582623</v>
      </c>
      <c r="C39" s="18">
        <f>B39/B14-1</f>
        <v>-0.15239717394466046</v>
      </c>
      <c r="D39" s="9" t="s">
        <v>104</v>
      </c>
    </row>
    <row r="40" spans="1:4" ht="29.25" x14ac:dyDescent="0.25">
      <c r="A40" s="7" t="s">
        <v>105</v>
      </c>
      <c r="B40" s="20">
        <f>B14+1.5*CAPEX!$F$6*(1+Assumptions!$B$65)*(1+Assumptions!$B$23)*(1+Assumptions!$B$24)*(B13+Assumptions!$B$26*(1+Assumptions!$B$28+Assumptions!$B$29))/OPEX!$B$30</f>
        <v>29.794674942396121</v>
      </c>
      <c r="C40" s="18">
        <f>B40/B14-1</f>
        <v>0.19700554971882456</v>
      </c>
      <c r="D40" s="9" t="s">
        <v>106</v>
      </c>
    </row>
    <row r="41" spans="1:4" x14ac:dyDescent="0.25">
      <c r="A41" s="7" t="s">
        <v>107</v>
      </c>
      <c r="B41" s="20">
        <f>B14+Process_Data!$B$12*(5000-Assumptions!$B$44)*((Assumptions!$B$21+Assumptions!$B$22)*(1+Assumptions!$B$23)*(1+Assumptions!$B$24)*(B13+Assumptions!$B$26*(1+Assumptions!$B$28+Assumptions!$B$29))+1/Assumptions!$B$46*(1+Assumptions!$B$29))/OPEX!$B$30</f>
        <v>25.373426967700969</v>
      </c>
      <c r="C41" s="18">
        <f>B41/B14-1</f>
        <v>1.9381246965897825E-2</v>
      </c>
      <c r="D41" s="9" t="s">
        <v>108</v>
      </c>
    </row>
    <row r="42" spans="1:4" ht="43.5" x14ac:dyDescent="0.25">
      <c r="A42" s="7" t="s">
        <v>493</v>
      </c>
      <c r="B42" s="20">
        <f>B14/(2.4534/2.21)</f>
        <v>22.421589672089819</v>
      </c>
      <c r="C42" s="18">
        <f>B42/B14-1</f>
        <v>-9.9209260617918016E-2</v>
      </c>
      <c r="D42" s="9" t="s">
        <v>494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6"/>
  <sheetViews>
    <sheetView showGridLines="0" zoomScaleNormal="100" workbookViewId="0"/>
  </sheetViews>
  <sheetFormatPr defaultRowHeight="15" x14ac:dyDescent="0.25"/>
  <cols>
    <col min="1" max="1" width="46" customWidth="1"/>
    <col min="2" max="2" width="14" customWidth="1"/>
    <col min="3" max="3" width="12" customWidth="1"/>
    <col min="4" max="4" width="90" customWidth="1"/>
  </cols>
  <sheetData>
    <row r="1" spans="1:4" ht="15.75" x14ac:dyDescent="0.25">
      <c r="A1" s="21" t="s">
        <v>484</v>
      </c>
    </row>
    <row r="3" spans="1:4" x14ac:dyDescent="0.25">
      <c r="A3" s="6" t="s">
        <v>109</v>
      </c>
      <c r="B3" s="6" t="s">
        <v>42</v>
      </c>
      <c r="C3" s="6" t="s">
        <v>43</v>
      </c>
      <c r="D3" s="6" t="s">
        <v>110</v>
      </c>
    </row>
    <row r="4" spans="1:4" x14ac:dyDescent="0.25">
      <c r="A4" s="11" t="s">
        <v>111</v>
      </c>
    </row>
    <row r="5" spans="1:4" ht="29.25" x14ac:dyDescent="0.25">
      <c r="A5" s="7" t="s">
        <v>112</v>
      </c>
      <c r="B5" s="22">
        <v>354.16669999999999</v>
      </c>
      <c r="C5" s="7" t="s">
        <v>113</v>
      </c>
      <c r="D5" s="9" t="s">
        <v>114</v>
      </c>
    </row>
    <row r="6" spans="1:4" x14ac:dyDescent="0.25">
      <c r="A6" s="7" t="s">
        <v>115</v>
      </c>
      <c r="B6" s="22">
        <v>541.66669999999999</v>
      </c>
      <c r="C6" s="7" t="s">
        <v>113</v>
      </c>
      <c r="D6" s="9" t="s">
        <v>116</v>
      </c>
    </row>
    <row r="7" spans="1:4" x14ac:dyDescent="0.25">
      <c r="A7" s="7" t="s">
        <v>117</v>
      </c>
      <c r="B7" s="23">
        <v>2.3580000000000001</v>
      </c>
      <c r="C7" s="7" t="s">
        <v>118</v>
      </c>
      <c r="D7" s="9" t="s">
        <v>119</v>
      </c>
    </row>
    <row r="8" spans="1:4" x14ac:dyDescent="0.25">
      <c r="A8" s="7" t="s">
        <v>120</v>
      </c>
      <c r="B8" s="23">
        <v>0.59399999999999997</v>
      </c>
      <c r="C8" s="7" t="s">
        <v>64</v>
      </c>
      <c r="D8" s="9" t="s">
        <v>119</v>
      </c>
    </row>
    <row r="9" spans="1:4" x14ac:dyDescent="0.25">
      <c r="A9" s="7" t="s">
        <v>121</v>
      </c>
      <c r="B9" s="24">
        <f>B7*22.414</f>
        <v>52.852212000000009</v>
      </c>
      <c r="C9" s="7" t="s">
        <v>122</v>
      </c>
      <c r="D9" s="9" t="s">
        <v>123</v>
      </c>
    </row>
    <row r="10" spans="1:4" ht="29.25" x14ac:dyDescent="0.25">
      <c r="A10" s="7" t="s">
        <v>124</v>
      </c>
      <c r="B10" s="24">
        <f>B7*B8*802.3/3.6</f>
        <v>312.15086100000002</v>
      </c>
      <c r="C10" s="7" t="s">
        <v>125</v>
      </c>
      <c r="D10" s="9" t="s">
        <v>126</v>
      </c>
    </row>
    <row r="11" spans="1:4" ht="29.25" x14ac:dyDescent="0.25">
      <c r="A11" s="7" t="s">
        <v>127</v>
      </c>
      <c r="B11" s="22">
        <v>823.30200000000002</v>
      </c>
      <c r="C11" s="7" t="s">
        <v>113</v>
      </c>
      <c r="D11" s="9" t="s">
        <v>128</v>
      </c>
    </row>
    <row r="12" spans="1:4" x14ac:dyDescent="0.25">
      <c r="A12" s="7" t="s">
        <v>129</v>
      </c>
      <c r="B12" s="22">
        <v>5</v>
      </c>
      <c r="C12" s="7" t="s">
        <v>130</v>
      </c>
      <c r="D12" s="9" t="s">
        <v>131</v>
      </c>
    </row>
    <row r="13" spans="1:4" x14ac:dyDescent="0.25">
      <c r="A13" s="7" t="s">
        <v>132</v>
      </c>
      <c r="B13" s="23">
        <v>1.7789999999999999</v>
      </c>
      <c r="C13" s="7" t="s">
        <v>118</v>
      </c>
      <c r="D13" s="9" t="s">
        <v>119</v>
      </c>
    </row>
    <row r="14" spans="1:4" x14ac:dyDescent="0.25">
      <c r="A14" s="7" t="s">
        <v>133</v>
      </c>
      <c r="B14" s="23">
        <v>0.76400000000000001</v>
      </c>
      <c r="C14" s="7" t="s">
        <v>64</v>
      </c>
      <c r="D14" s="9" t="s">
        <v>119</v>
      </c>
    </row>
    <row r="15" spans="1:4" ht="29.25" x14ac:dyDescent="0.25">
      <c r="A15" s="7" t="s">
        <v>134</v>
      </c>
      <c r="B15" s="23">
        <v>0.57999999999999996</v>
      </c>
      <c r="C15" s="7" t="s">
        <v>118</v>
      </c>
      <c r="D15" s="9" t="s">
        <v>135</v>
      </c>
    </row>
    <row r="16" spans="1:4" ht="43.5" x14ac:dyDescent="0.25">
      <c r="A16" s="7" t="s">
        <v>136</v>
      </c>
      <c r="B16" s="23">
        <v>0.92200000000000004</v>
      </c>
      <c r="C16" s="7" t="s">
        <v>64</v>
      </c>
      <c r="D16" s="9" t="s">
        <v>137</v>
      </c>
    </row>
    <row r="17" spans="1:4" ht="43.5" x14ac:dyDescent="0.25">
      <c r="A17" s="7" t="s">
        <v>138</v>
      </c>
      <c r="B17" s="23">
        <v>7.0000000000000007E-2</v>
      </c>
      <c r="C17" s="7" t="s">
        <v>64</v>
      </c>
      <c r="D17" s="9" t="s">
        <v>139</v>
      </c>
    </row>
    <row r="18" spans="1:4" ht="29.25" x14ac:dyDescent="0.25">
      <c r="A18" s="7" t="s">
        <v>140</v>
      </c>
      <c r="B18" s="23">
        <v>2.21</v>
      </c>
      <c r="C18" s="7" t="s">
        <v>118</v>
      </c>
      <c r="D18" s="9" t="s">
        <v>485</v>
      </c>
    </row>
    <row r="19" spans="1:4" x14ac:dyDescent="0.25">
      <c r="A19" s="7" t="s">
        <v>141</v>
      </c>
      <c r="B19" s="24">
        <f>B18*2.01588</f>
        <v>4.4550948000000004</v>
      </c>
      <c r="C19" s="7" t="s">
        <v>113</v>
      </c>
      <c r="D19" s="9" t="s">
        <v>142</v>
      </c>
    </row>
    <row r="20" spans="1:4" ht="43.5" x14ac:dyDescent="0.25">
      <c r="A20" s="7" t="s">
        <v>486</v>
      </c>
      <c r="B20" s="23">
        <v>1.2790999999999999</v>
      </c>
      <c r="C20" s="7" t="s">
        <v>118</v>
      </c>
      <c r="D20" s="9" t="s">
        <v>487</v>
      </c>
    </row>
    <row r="21" spans="1:4" x14ac:dyDescent="0.25">
      <c r="A21" s="7" t="s">
        <v>143</v>
      </c>
      <c r="B21" s="24">
        <f>B20*12.011</f>
        <v>15.363270099999998</v>
      </c>
      <c r="C21" s="7" t="s">
        <v>113</v>
      </c>
      <c r="D21" s="9" t="s">
        <v>144</v>
      </c>
    </row>
    <row r="22" spans="1:4" ht="43.5" x14ac:dyDescent="0.25">
      <c r="A22" s="7" t="s">
        <v>145</v>
      </c>
      <c r="B22" s="23">
        <v>0.35210000000000002</v>
      </c>
      <c r="C22" s="7" t="s">
        <v>118</v>
      </c>
      <c r="D22" s="9" t="s">
        <v>488</v>
      </c>
    </row>
    <row r="23" spans="1:4" x14ac:dyDescent="0.25">
      <c r="A23" s="7" t="s">
        <v>146</v>
      </c>
      <c r="B23" s="22">
        <v>24.667999999999999</v>
      </c>
      <c r="C23" s="7" t="s">
        <v>147</v>
      </c>
      <c r="D23" s="9" t="s">
        <v>148</v>
      </c>
    </row>
    <row r="24" spans="1:4" x14ac:dyDescent="0.25">
      <c r="A24" s="11" t="s">
        <v>149</v>
      </c>
    </row>
    <row r="25" spans="1:4" ht="43.5" x14ac:dyDescent="0.25">
      <c r="A25" s="7" t="s">
        <v>150</v>
      </c>
      <c r="B25" s="22">
        <v>2.82</v>
      </c>
      <c r="C25" s="7" t="s">
        <v>125</v>
      </c>
      <c r="D25" s="9" t="s">
        <v>151</v>
      </c>
    </row>
    <row r="26" spans="1:4" ht="43.5" x14ac:dyDescent="0.25">
      <c r="A26" s="7" t="s">
        <v>152</v>
      </c>
      <c r="B26" s="22">
        <v>2.87</v>
      </c>
      <c r="C26" s="7" t="s">
        <v>125</v>
      </c>
      <c r="D26" s="9" t="s">
        <v>153</v>
      </c>
    </row>
    <row r="27" spans="1:4" x14ac:dyDescent="0.25">
      <c r="A27" s="7" t="s">
        <v>154</v>
      </c>
      <c r="B27" s="22">
        <v>24.74</v>
      </c>
      <c r="C27" s="7" t="s">
        <v>125</v>
      </c>
      <c r="D27" s="9" t="s">
        <v>119</v>
      </c>
    </row>
    <row r="28" spans="1:4" x14ac:dyDescent="0.25">
      <c r="A28" s="7" t="s">
        <v>155</v>
      </c>
      <c r="B28" s="22">
        <v>3.51</v>
      </c>
      <c r="C28" s="7" t="s">
        <v>125</v>
      </c>
      <c r="D28" s="9" t="s">
        <v>119</v>
      </c>
    </row>
    <row r="29" spans="1:4" x14ac:dyDescent="0.25">
      <c r="A29" s="7" t="s">
        <v>156</v>
      </c>
      <c r="B29" s="22">
        <v>20.420000000000002</v>
      </c>
      <c r="C29" s="7" t="s">
        <v>125</v>
      </c>
      <c r="D29" s="9" t="s">
        <v>119</v>
      </c>
    </row>
    <row r="30" spans="1:4" ht="29.25" x14ac:dyDescent="0.25">
      <c r="A30" s="7" t="s">
        <v>157</v>
      </c>
      <c r="B30" s="25">
        <v>89.63</v>
      </c>
      <c r="C30" s="7" t="s">
        <v>158</v>
      </c>
      <c r="D30" s="9" t="s">
        <v>159</v>
      </c>
    </row>
    <row r="31" spans="1:4" x14ac:dyDescent="0.25">
      <c r="A31" s="7" t="s">
        <v>160</v>
      </c>
      <c r="B31" s="25">
        <v>34.200000000000003</v>
      </c>
      <c r="C31" s="7" t="s">
        <v>158</v>
      </c>
      <c r="D31" s="9" t="s">
        <v>161</v>
      </c>
    </row>
    <row r="32" spans="1:4" ht="29.25" x14ac:dyDescent="0.25">
      <c r="A32" s="7" t="s">
        <v>162</v>
      </c>
      <c r="B32" s="26">
        <f>(B20*B30+B22*B31)/3.6</f>
        <v>35.19098694444444</v>
      </c>
      <c r="C32" s="7" t="s">
        <v>125</v>
      </c>
      <c r="D32" s="9" t="s">
        <v>489</v>
      </c>
    </row>
    <row r="33" spans="1:4" ht="29.25" x14ac:dyDescent="0.25">
      <c r="A33" s="7" t="s">
        <v>163</v>
      </c>
      <c r="B33" s="22">
        <v>5.51</v>
      </c>
      <c r="C33" s="7" t="s">
        <v>125</v>
      </c>
      <c r="D33" s="9" t="s">
        <v>164</v>
      </c>
    </row>
    <row r="34" spans="1:4" x14ac:dyDescent="0.25">
      <c r="A34" s="7" t="s">
        <v>165</v>
      </c>
      <c r="B34" s="22">
        <v>2.7</v>
      </c>
      <c r="C34" s="7" t="s">
        <v>125</v>
      </c>
      <c r="D34" s="9" t="s">
        <v>166</v>
      </c>
    </row>
    <row r="35" spans="1:4" x14ac:dyDescent="0.25">
      <c r="A35" s="7" t="s">
        <v>167</v>
      </c>
      <c r="B35" s="22">
        <v>2.87</v>
      </c>
      <c r="C35" s="7" t="s">
        <v>125</v>
      </c>
      <c r="D35" s="9" t="s">
        <v>168</v>
      </c>
    </row>
    <row r="36" spans="1:4" x14ac:dyDescent="0.25">
      <c r="A36" s="7" t="s">
        <v>169</v>
      </c>
      <c r="B36" s="24">
        <f>B33+B34+B35</f>
        <v>11.080000000000002</v>
      </c>
      <c r="C36" s="7" t="s">
        <v>125</v>
      </c>
      <c r="D36" s="9" t="s">
        <v>170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5"/>
  <sheetViews>
    <sheetView showGridLines="0" zoomScaleNormal="100" workbookViewId="0"/>
  </sheetViews>
  <sheetFormatPr defaultRowHeight="15" x14ac:dyDescent="0.25"/>
  <cols>
    <col min="1" max="1" width="50" customWidth="1"/>
    <col min="2" max="3" width="14" customWidth="1"/>
    <col min="4" max="4" width="95" customWidth="1"/>
  </cols>
  <sheetData>
    <row r="1" spans="1:4" ht="15.75" x14ac:dyDescent="0.25">
      <c r="A1" s="21" t="s">
        <v>171</v>
      </c>
    </row>
    <row r="3" spans="1:4" x14ac:dyDescent="0.25">
      <c r="A3" s="6" t="s">
        <v>172</v>
      </c>
      <c r="B3" s="6" t="s">
        <v>42</v>
      </c>
      <c r="C3" s="6" t="s">
        <v>43</v>
      </c>
      <c r="D3" s="6" t="s">
        <v>110</v>
      </c>
    </row>
    <row r="4" spans="1:4" x14ac:dyDescent="0.25">
      <c r="A4" s="11" t="s">
        <v>173</v>
      </c>
    </row>
    <row r="5" spans="1:4" x14ac:dyDescent="0.25">
      <c r="A5" s="7" t="s">
        <v>174</v>
      </c>
      <c r="B5" s="27">
        <v>8760</v>
      </c>
      <c r="C5" s="7" t="s">
        <v>175</v>
      </c>
      <c r="D5" s="9" t="s">
        <v>176</v>
      </c>
    </row>
    <row r="6" spans="1:4" x14ac:dyDescent="0.25">
      <c r="A6" s="7" t="s">
        <v>177</v>
      </c>
      <c r="B6" s="28">
        <v>0.85</v>
      </c>
      <c r="C6" s="7" t="s">
        <v>64</v>
      </c>
      <c r="D6" s="9" t="s">
        <v>178</v>
      </c>
    </row>
    <row r="7" spans="1:4" x14ac:dyDescent="0.25">
      <c r="A7" s="7" t="s">
        <v>179</v>
      </c>
      <c r="B7" s="28">
        <v>0.7</v>
      </c>
      <c r="C7" s="7" t="s">
        <v>64</v>
      </c>
      <c r="D7" s="9" t="s">
        <v>180</v>
      </c>
    </row>
    <row r="8" spans="1:4" x14ac:dyDescent="0.25">
      <c r="A8" s="7" t="s">
        <v>181</v>
      </c>
      <c r="B8" s="28">
        <v>0.8</v>
      </c>
      <c r="C8" s="7" t="s">
        <v>64</v>
      </c>
      <c r="D8" s="9" t="s">
        <v>180</v>
      </c>
    </row>
    <row r="9" spans="1:4" x14ac:dyDescent="0.25">
      <c r="A9" s="7" t="s">
        <v>182</v>
      </c>
      <c r="B9" s="27">
        <v>20</v>
      </c>
      <c r="C9" s="7" t="s">
        <v>183</v>
      </c>
      <c r="D9" s="9" t="s">
        <v>180</v>
      </c>
    </row>
    <row r="10" spans="1:4" x14ac:dyDescent="0.25">
      <c r="A10" s="7" t="s">
        <v>184</v>
      </c>
      <c r="B10" s="29">
        <v>0.1</v>
      </c>
      <c r="C10" s="7" t="s">
        <v>64</v>
      </c>
      <c r="D10" s="9" t="s">
        <v>180</v>
      </c>
    </row>
    <row r="11" spans="1:4" x14ac:dyDescent="0.25">
      <c r="A11" s="7" t="s">
        <v>185</v>
      </c>
      <c r="B11" s="29">
        <v>0.2</v>
      </c>
      <c r="C11" s="7" t="s">
        <v>64</v>
      </c>
      <c r="D11" s="9" t="s">
        <v>186</v>
      </c>
    </row>
    <row r="12" spans="1:4" x14ac:dyDescent="0.25">
      <c r="A12" s="7" t="s">
        <v>187</v>
      </c>
      <c r="B12" s="29">
        <v>0.35</v>
      </c>
      <c r="C12" s="7" t="s">
        <v>64</v>
      </c>
      <c r="D12" s="9" t="s">
        <v>188</v>
      </c>
    </row>
    <row r="13" spans="1:4" x14ac:dyDescent="0.25">
      <c r="A13" s="7" t="s">
        <v>189</v>
      </c>
      <c r="B13" s="29">
        <v>0.45</v>
      </c>
      <c r="C13" s="7" t="s">
        <v>64</v>
      </c>
      <c r="D13" s="9" t="s">
        <v>190</v>
      </c>
    </row>
    <row r="14" spans="1:4" x14ac:dyDescent="0.25">
      <c r="A14" s="7" t="s">
        <v>191</v>
      </c>
      <c r="B14" s="29">
        <v>0.05</v>
      </c>
      <c r="C14" s="7" t="s">
        <v>64</v>
      </c>
      <c r="D14" s="9" t="s">
        <v>188</v>
      </c>
    </row>
    <row r="15" spans="1:4" x14ac:dyDescent="0.25">
      <c r="A15" s="7" t="s">
        <v>192</v>
      </c>
      <c r="B15" s="29">
        <v>0.05</v>
      </c>
      <c r="C15" s="7" t="s">
        <v>64</v>
      </c>
      <c r="D15" s="9" t="s">
        <v>180</v>
      </c>
    </row>
    <row r="16" spans="1:4" x14ac:dyDescent="0.25">
      <c r="A16" s="7" t="s">
        <v>193</v>
      </c>
      <c r="B16" s="29">
        <v>3.5000000000000003E-2</v>
      </c>
      <c r="C16" s="7" t="s">
        <v>64</v>
      </c>
      <c r="D16" s="9" t="s">
        <v>180</v>
      </c>
    </row>
    <row r="17" spans="1:4" x14ac:dyDescent="0.25">
      <c r="A17" s="7" t="s">
        <v>194</v>
      </c>
      <c r="B17" s="29">
        <v>0.03</v>
      </c>
      <c r="C17" s="7" t="s">
        <v>64</v>
      </c>
      <c r="D17" s="9" t="s">
        <v>180</v>
      </c>
    </row>
    <row r="18" spans="1:4" x14ac:dyDescent="0.25">
      <c r="A18" s="7" t="s">
        <v>195</v>
      </c>
      <c r="B18" s="29">
        <v>0.03</v>
      </c>
      <c r="C18" s="7" t="s">
        <v>64</v>
      </c>
      <c r="D18" s="9" t="s">
        <v>180</v>
      </c>
    </row>
    <row r="19" spans="1:4" x14ac:dyDescent="0.25">
      <c r="A19" s="7" t="s">
        <v>196</v>
      </c>
      <c r="B19" s="29">
        <v>3.5000000000000003E-2</v>
      </c>
      <c r="C19" s="7" t="s">
        <v>64</v>
      </c>
      <c r="D19" s="9" t="s">
        <v>180</v>
      </c>
    </row>
    <row r="20" spans="1:4" x14ac:dyDescent="0.25">
      <c r="A20" s="11" t="s">
        <v>197</v>
      </c>
    </row>
    <row r="21" spans="1:4" x14ac:dyDescent="0.25">
      <c r="A21" s="7" t="s">
        <v>198</v>
      </c>
      <c r="B21" s="30">
        <v>3.02</v>
      </c>
      <c r="C21" s="7" t="s">
        <v>64</v>
      </c>
      <c r="D21" s="9" t="s">
        <v>199</v>
      </c>
    </row>
    <row r="22" spans="1:4" x14ac:dyDescent="0.25">
      <c r="A22" s="7" t="s">
        <v>200</v>
      </c>
      <c r="B22" s="29">
        <v>0.89</v>
      </c>
      <c r="C22" s="7" t="s">
        <v>64</v>
      </c>
      <c r="D22" s="9" t="s">
        <v>201</v>
      </c>
    </row>
    <row r="23" spans="1:4" x14ac:dyDescent="0.25">
      <c r="A23" s="7" t="s">
        <v>202</v>
      </c>
      <c r="B23" s="29">
        <v>0.2</v>
      </c>
      <c r="C23" s="7" t="s">
        <v>64</v>
      </c>
      <c r="D23" s="9" t="s">
        <v>203</v>
      </c>
    </row>
    <row r="24" spans="1:4" x14ac:dyDescent="0.25">
      <c r="A24" s="7" t="s">
        <v>204</v>
      </c>
      <c r="B24" s="29">
        <v>0.1</v>
      </c>
      <c r="C24" s="7" t="s">
        <v>64</v>
      </c>
      <c r="D24" s="9" t="s">
        <v>203</v>
      </c>
    </row>
    <row r="25" spans="1:4" x14ac:dyDescent="0.25">
      <c r="A25" s="11" t="s">
        <v>205</v>
      </c>
    </row>
    <row r="26" spans="1:4" x14ac:dyDescent="0.25">
      <c r="A26" s="7" t="s">
        <v>206</v>
      </c>
      <c r="B26" s="29">
        <v>0.03</v>
      </c>
      <c r="C26" s="7" t="s">
        <v>64</v>
      </c>
      <c r="D26" s="9" t="s">
        <v>207</v>
      </c>
    </row>
    <row r="27" spans="1:4" x14ac:dyDescent="0.25">
      <c r="A27" s="7" t="s">
        <v>208</v>
      </c>
      <c r="B27" s="29">
        <v>0.25</v>
      </c>
      <c r="C27" s="7" t="s">
        <v>64</v>
      </c>
      <c r="D27" s="9" t="s">
        <v>209</v>
      </c>
    </row>
    <row r="28" spans="1:4" x14ac:dyDescent="0.25">
      <c r="A28" s="7" t="s">
        <v>210</v>
      </c>
      <c r="B28" s="29">
        <v>0.5</v>
      </c>
      <c r="C28" s="7" t="s">
        <v>64</v>
      </c>
      <c r="D28" s="9" t="s">
        <v>209</v>
      </c>
    </row>
    <row r="29" spans="1:4" x14ac:dyDescent="0.25">
      <c r="A29" s="7" t="s">
        <v>211</v>
      </c>
      <c r="B29" s="29">
        <v>0.08</v>
      </c>
      <c r="C29" s="7" t="s">
        <v>64</v>
      </c>
      <c r="D29" s="9" t="s">
        <v>209</v>
      </c>
    </row>
    <row r="30" spans="1:4" x14ac:dyDescent="0.25">
      <c r="A30" s="11" t="s">
        <v>212</v>
      </c>
    </row>
    <row r="31" spans="1:4" ht="29.25" x14ac:dyDescent="0.25">
      <c r="A31" s="7" t="s">
        <v>213</v>
      </c>
      <c r="B31" s="31">
        <v>8.1299999999999997E-2</v>
      </c>
      <c r="C31" s="7" t="s">
        <v>214</v>
      </c>
      <c r="D31" s="9" t="s">
        <v>215</v>
      </c>
    </row>
    <row r="32" spans="1:4" ht="29.25" x14ac:dyDescent="0.25">
      <c r="A32" s="7" t="s">
        <v>216</v>
      </c>
      <c r="B32" s="32">
        <v>3.93</v>
      </c>
      <c r="C32" s="7" t="s">
        <v>217</v>
      </c>
      <c r="D32" s="9" t="s">
        <v>218</v>
      </c>
    </row>
    <row r="33" spans="1:4" x14ac:dyDescent="0.25">
      <c r="A33" s="7" t="s">
        <v>219</v>
      </c>
      <c r="B33" s="30">
        <v>1.036</v>
      </c>
      <c r="C33" s="7" t="s">
        <v>220</v>
      </c>
      <c r="D33" s="9" t="s">
        <v>221</v>
      </c>
    </row>
    <row r="34" spans="1:4" x14ac:dyDescent="0.25">
      <c r="A34" s="7" t="s">
        <v>222</v>
      </c>
      <c r="B34" s="33">
        <f>B32/(B33*1.055056)</f>
        <v>3.5954833614863038</v>
      </c>
      <c r="C34" s="7" t="s">
        <v>223</v>
      </c>
      <c r="D34" s="9" t="s">
        <v>224</v>
      </c>
    </row>
    <row r="35" spans="1:4" x14ac:dyDescent="0.25">
      <c r="A35" s="7" t="s">
        <v>225</v>
      </c>
      <c r="B35" s="34">
        <v>0.85</v>
      </c>
      <c r="C35" s="7" t="s">
        <v>64</v>
      </c>
      <c r="D35" s="9" t="s">
        <v>226</v>
      </c>
    </row>
    <row r="36" spans="1:4" x14ac:dyDescent="0.25">
      <c r="A36" s="7" t="s">
        <v>227</v>
      </c>
      <c r="B36" s="34">
        <v>0.8</v>
      </c>
      <c r="C36" s="7" t="s">
        <v>64</v>
      </c>
      <c r="D36" s="9" t="s">
        <v>226</v>
      </c>
    </row>
    <row r="37" spans="1:4" x14ac:dyDescent="0.25">
      <c r="A37" s="7" t="s">
        <v>228</v>
      </c>
      <c r="B37" s="35">
        <v>0.35</v>
      </c>
      <c r="C37" s="7" t="s">
        <v>229</v>
      </c>
      <c r="D37" s="9" t="s">
        <v>226</v>
      </c>
    </row>
    <row r="38" spans="1:4" x14ac:dyDescent="0.25">
      <c r="A38" s="7" t="s">
        <v>230</v>
      </c>
      <c r="B38" s="35">
        <v>0.5</v>
      </c>
      <c r="C38" s="7" t="s">
        <v>231</v>
      </c>
      <c r="D38" s="9" t="s">
        <v>226</v>
      </c>
    </row>
    <row r="39" spans="1:4" ht="29.25" x14ac:dyDescent="0.25">
      <c r="A39" s="7" t="s">
        <v>232</v>
      </c>
      <c r="B39" s="35">
        <v>0</v>
      </c>
      <c r="C39" s="7" t="s">
        <v>233</v>
      </c>
      <c r="D39" s="9" t="s">
        <v>234</v>
      </c>
    </row>
    <row r="40" spans="1:4" ht="29.25" x14ac:dyDescent="0.25">
      <c r="A40" s="7" t="s">
        <v>235</v>
      </c>
      <c r="B40" s="30">
        <v>0.2</v>
      </c>
      <c r="C40" s="7" t="s">
        <v>236</v>
      </c>
      <c r="D40" s="9" t="s">
        <v>237</v>
      </c>
    </row>
    <row r="41" spans="1:4" x14ac:dyDescent="0.25">
      <c r="A41" s="7" t="s">
        <v>238</v>
      </c>
      <c r="B41" s="36">
        <v>2</v>
      </c>
      <c r="C41" s="7" t="s">
        <v>125</v>
      </c>
      <c r="D41" s="9" t="s">
        <v>239</v>
      </c>
    </row>
    <row r="42" spans="1:4" x14ac:dyDescent="0.25">
      <c r="A42" s="7" t="s">
        <v>240</v>
      </c>
      <c r="B42" s="35">
        <v>40</v>
      </c>
      <c r="C42" s="7" t="s">
        <v>241</v>
      </c>
      <c r="D42" s="9" t="s">
        <v>226</v>
      </c>
    </row>
    <row r="43" spans="1:4" x14ac:dyDescent="0.25">
      <c r="A43" s="7" t="s">
        <v>242</v>
      </c>
      <c r="B43" s="37">
        <v>1</v>
      </c>
      <c r="C43" s="7" t="s">
        <v>243</v>
      </c>
      <c r="D43" s="9" t="s">
        <v>244</v>
      </c>
    </row>
    <row r="44" spans="1:4" ht="43.5" x14ac:dyDescent="0.25">
      <c r="A44" s="7" t="s">
        <v>245</v>
      </c>
      <c r="B44" s="38">
        <v>2000</v>
      </c>
      <c r="C44" s="7" t="s">
        <v>246</v>
      </c>
      <c r="D44" s="9" t="s">
        <v>247</v>
      </c>
    </row>
    <row r="45" spans="1:4" ht="29.25" x14ac:dyDescent="0.25">
      <c r="A45" s="7" t="s">
        <v>248</v>
      </c>
      <c r="B45" s="32">
        <v>100</v>
      </c>
      <c r="C45" s="7" t="s">
        <v>246</v>
      </c>
      <c r="D45" s="9" t="s">
        <v>249</v>
      </c>
    </row>
    <row r="46" spans="1:4" x14ac:dyDescent="0.25">
      <c r="A46" s="7" t="s">
        <v>250</v>
      </c>
      <c r="B46" s="27">
        <v>5</v>
      </c>
      <c r="C46" s="7" t="s">
        <v>183</v>
      </c>
      <c r="D46" s="9" t="s">
        <v>251</v>
      </c>
    </row>
    <row r="47" spans="1:4" x14ac:dyDescent="0.25">
      <c r="A47" s="7" t="s">
        <v>252</v>
      </c>
      <c r="B47" s="37">
        <v>2</v>
      </c>
      <c r="C47" s="7" t="s">
        <v>253</v>
      </c>
      <c r="D47" s="9" t="s">
        <v>254</v>
      </c>
    </row>
    <row r="48" spans="1:4" ht="29.25" x14ac:dyDescent="0.25">
      <c r="A48" s="7" t="s">
        <v>255</v>
      </c>
      <c r="B48" s="38">
        <v>80030</v>
      </c>
      <c r="C48" s="7" t="s">
        <v>256</v>
      </c>
      <c r="D48" s="9" t="s">
        <v>257</v>
      </c>
    </row>
    <row r="49" spans="1:4" ht="43.5" x14ac:dyDescent="0.25">
      <c r="A49" s="7" t="s">
        <v>258</v>
      </c>
      <c r="B49" s="32">
        <v>100</v>
      </c>
      <c r="C49" s="7" t="s">
        <v>233</v>
      </c>
      <c r="D49" s="9" t="s">
        <v>259</v>
      </c>
    </row>
    <row r="50" spans="1:4" x14ac:dyDescent="0.25">
      <c r="A50" s="7" t="s">
        <v>260</v>
      </c>
      <c r="B50" s="35">
        <v>0</v>
      </c>
      <c r="C50" s="7" t="s">
        <v>233</v>
      </c>
      <c r="D50" s="9" t="s">
        <v>261</v>
      </c>
    </row>
    <row r="51" spans="1:4" x14ac:dyDescent="0.25">
      <c r="A51" s="7" t="s">
        <v>262</v>
      </c>
      <c r="B51" s="27">
        <v>120</v>
      </c>
      <c r="C51" s="7" t="s">
        <v>263</v>
      </c>
      <c r="D51" s="9" t="s">
        <v>264</v>
      </c>
    </row>
    <row r="52" spans="1:4" x14ac:dyDescent="0.25">
      <c r="A52" s="11" t="s">
        <v>265</v>
      </c>
    </row>
    <row r="53" spans="1:4" x14ac:dyDescent="0.25">
      <c r="A53" s="7" t="s">
        <v>266</v>
      </c>
      <c r="B53" s="39">
        <v>800</v>
      </c>
      <c r="C53" s="7" t="s">
        <v>64</v>
      </c>
      <c r="D53" s="9" t="s">
        <v>267</v>
      </c>
    </row>
    <row r="54" spans="1:4" x14ac:dyDescent="0.25">
      <c r="A54" s="7" t="s">
        <v>268</v>
      </c>
      <c r="B54" s="39">
        <v>576.1</v>
      </c>
      <c r="C54" s="7" t="s">
        <v>64</v>
      </c>
      <c r="D54" s="9" t="s">
        <v>269</v>
      </c>
    </row>
    <row r="55" spans="1:4" x14ac:dyDescent="0.25">
      <c r="A55" s="7" t="s">
        <v>270</v>
      </c>
      <c r="B55" s="39">
        <v>532.9</v>
      </c>
      <c r="C55" s="7" t="s">
        <v>64</v>
      </c>
      <c r="D55" s="9" t="s">
        <v>271</v>
      </c>
    </row>
    <row r="56" spans="1:4" x14ac:dyDescent="0.25">
      <c r="A56" s="7" t="s">
        <v>272</v>
      </c>
      <c r="B56" s="39">
        <v>394.3</v>
      </c>
      <c r="C56" s="7" t="s">
        <v>64</v>
      </c>
      <c r="D56" s="9" t="s">
        <v>273</v>
      </c>
    </row>
    <row r="57" spans="1:4" x14ac:dyDescent="0.25">
      <c r="A57" s="7" t="s">
        <v>274</v>
      </c>
      <c r="B57" s="40">
        <v>1.61</v>
      </c>
      <c r="C57" s="7" t="s">
        <v>275</v>
      </c>
      <c r="D57" s="9" t="s">
        <v>276</v>
      </c>
    </row>
    <row r="58" spans="1:4" x14ac:dyDescent="0.25">
      <c r="A58" s="7" t="s">
        <v>277</v>
      </c>
      <c r="B58" s="40">
        <v>1.0823799999999999</v>
      </c>
      <c r="C58" s="7" t="s">
        <v>278</v>
      </c>
      <c r="D58" s="9" t="s">
        <v>279</v>
      </c>
    </row>
    <row r="59" spans="1:4" ht="29.25" x14ac:dyDescent="0.25">
      <c r="A59" s="7" t="s">
        <v>280</v>
      </c>
      <c r="B59" s="27">
        <v>3223</v>
      </c>
      <c r="C59" s="7" t="s">
        <v>281</v>
      </c>
      <c r="D59" s="9" t="s">
        <v>282</v>
      </c>
    </row>
    <row r="60" spans="1:4" x14ac:dyDescent="0.25">
      <c r="A60" s="7" t="s">
        <v>283</v>
      </c>
      <c r="B60" s="29">
        <v>0.06</v>
      </c>
      <c r="C60" s="7" t="s">
        <v>64</v>
      </c>
      <c r="D60" s="9" t="s">
        <v>284</v>
      </c>
    </row>
    <row r="61" spans="1:4" x14ac:dyDescent="0.25">
      <c r="A61" s="7" t="s">
        <v>285</v>
      </c>
      <c r="B61" s="41">
        <v>0.38</v>
      </c>
      <c r="C61" s="7" t="s">
        <v>64</v>
      </c>
      <c r="D61" s="9" t="s">
        <v>286</v>
      </c>
    </row>
    <row r="62" spans="1:4" ht="29.25" x14ac:dyDescent="0.25">
      <c r="A62" s="7" t="s">
        <v>287</v>
      </c>
      <c r="B62" s="27">
        <v>6000</v>
      </c>
      <c r="C62" s="7" t="s">
        <v>288</v>
      </c>
      <c r="D62" s="9" t="s">
        <v>289</v>
      </c>
    </row>
    <row r="63" spans="1:4" x14ac:dyDescent="0.25">
      <c r="A63" s="7" t="s">
        <v>290</v>
      </c>
      <c r="B63" s="27">
        <v>100</v>
      </c>
      <c r="C63" s="7" t="s">
        <v>122</v>
      </c>
      <c r="D63" s="9" t="s">
        <v>291</v>
      </c>
    </row>
    <row r="64" spans="1:4" x14ac:dyDescent="0.25">
      <c r="A64" s="7" t="s">
        <v>292</v>
      </c>
      <c r="B64" s="28">
        <v>0.6</v>
      </c>
      <c r="C64" s="7" t="s">
        <v>64</v>
      </c>
      <c r="D64" s="9" t="s">
        <v>293</v>
      </c>
    </row>
    <row r="65" spans="1:4" x14ac:dyDescent="0.25">
      <c r="A65" s="7" t="s">
        <v>294</v>
      </c>
      <c r="B65" s="29">
        <v>0.125</v>
      </c>
      <c r="C65" s="7" t="s">
        <v>64</v>
      </c>
      <c r="D65" s="9" t="s">
        <v>295</v>
      </c>
    </row>
    <row r="66" spans="1:4" x14ac:dyDescent="0.25">
      <c r="A66" s="7" t="s">
        <v>296</v>
      </c>
      <c r="B66" s="34">
        <v>2</v>
      </c>
      <c r="C66" s="7" t="s">
        <v>130</v>
      </c>
      <c r="D66" s="9" t="s">
        <v>297</v>
      </c>
    </row>
    <row r="67" spans="1:4" x14ac:dyDescent="0.25">
      <c r="A67" s="7" t="s">
        <v>298</v>
      </c>
      <c r="B67" s="28">
        <v>1.7</v>
      </c>
      <c r="C67" s="7" t="s">
        <v>64</v>
      </c>
      <c r="D67" s="9" t="s">
        <v>299</v>
      </c>
    </row>
    <row r="68" spans="1:4" x14ac:dyDescent="0.25">
      <c r="A68" s="7" t="s">
        <v>300</v>
      </c>
      <c r="B68" s="28">
        <v>7.1</v>
      </c>
      <c r="C68" s="7" t="s">
        <v>64</v>
      </c>
      <c r="D68" s="9" t="s">
        <v>301</v>
      </c>
    </row>
    <row r="69" spans="1:4" x14ac:dyDescent="0.25">
      <c r="A69" s="11" t="s">
        <v>302</v>
      </c>
    </row>
    <row r="70" spans="1:4" ht="29.25" x14ac:dyDescent="0.25">
      <c r="A70" s="7" t="s">
        <v>303</v>
      </c>
      <c r="B70" s="36">
        <v>0.37330000000000002</v>
      </c>
      <c r="C70" s="7" t="s">
        <v>304</v>
      </c>
      <c r="D70" s="9" t="s">
        <v>305</v>
      </c>
    </row>
    <row r="71" spans="1:4" x14ac:dyDescent="0.25">
      <c r="A71" s="7" t="s">
        <v>306</v>
      </c>
      <c r="B71" s="36">
        <v>2.5</v>
      </c>
      <c r="C71" s="7" t="s">
        <v>307</v>
      </c>
      <c r="D71" s="9" t="s">
        <v>308</v>
      </c>
    </row>
    <row r="72" spans="1:4" x14ac:dyDescent="0.25">
      <c r="A72" s="7" t="s">
        <v>309</v>
      </c>
      <c r="B72" s="30">
        <v>56.1</v>
      </c>
      <c r="C72" s="7" t="s">
        <v>310</v>
      </c>
      <c r="D72" s="9" t="s">
        <v>311</v>
      </c>
    </row>
    <row r="73" spans="1:4" x14ac:dyDescent="0.25">
      <c r="A73" s="7" t="s">
        <v>312</v>
      </c>
      <c r="B73" s="37">
        <v>10</v>
      </c>
      <c r="C73" s="7" t="s">
        <v>313</v>
      </c>
      <c r="D73" s="9" t="s">
        <v>226</v>
      </c>
    </row>
    <row r="74" spans="1:4" x14ac:dyDescent="0.25">
      <c r="A74" s="7" t="s">
        <v>314</v>
      </c>
      <c r="B74" s="27">
        <v>0</v>
      </c>
      <c r="C74" s="7" t="s">
        <v>64</v>
      </c>
      <c r="D74" s="9" t="s">
        <v>315</v>
      </c>
    </row>
    <row r="75" spans="1:4" ht="29.25" x14ac:dyDescent="0.25">
      <c r="A75" s="7" t="s">
        <v>316</v>
      </c>
      <c r="B75" s="30">
        <v>27</v>
      </c>
      <c r="C75" s="7" t="s">
        <v>317</v>
      </c>
      <c r="D75" s="9" t="s">
        <v>318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5"/>
  <sheetViews>
    <sheetView showGridLines="0" zoomScaleNormal="100" workbookViewId="0"/>
  </sheetViews>
  <sheetFormatPr defaultRowHeight="15" x14ac:dyDescent="0.25"/>
  <cols>
    <col min="1" max="1" width="5" customWidth="1"/>
    <col min="2" max="2" width="46" customWidth="1"/>
    <col min="3" max="3" width="24" customWidth="1"/>
    <col min="4" max="4" width="14" customWidth="1"/>
    <col min="5" max="5" width="52" customWidth="1"/>
    <col min="6" max="6" width="16" customWidth="1"/>
    <col min="7" max="7" width="80" customWidth="1"/>
  </cols>
  <sheetData>
    <row r="1" spans="1:7" ht="15.75" x14ac:dyDescent="0.25">
      <c r="A1" s="21" t="s">
        <v>319</v>
      </c>
    </row>
    <row r="2" spans="1:7" x14ac:dyDescent="0.25">
      <c r="A2" s="5" t="s">
        <v>320</v>
      </c>
    </row>
    <row r="4" spans="1:7" ht="30" x14ac:dyDescent="0.25">
      <c r="A4" s="6" t="s">
        <v>321</v>
      </c>
      <c r="B4" s="6" t="s">
        <v>109</v>
      </c>
      <c r="C4" s="6" t="s">
        <v>322</v>
      </c>
      <c r="D4" s="6" t="s">
        <v>323</v>
      </c>
      <c r="E4" s="6" t="s">
        <v>324</v>
      </c>
      <c r="F4" s="6" t="s">
        <v>325</v>
      </c>
      <c r="G4" s="6" t="s">
        <v>110</v>
      </c>
    </row>
    <row r="5" spans="1:7" ht="72" x14ac:dyDescent="0.25">
      <c r="A5" s="7">
        <v>1</v>
      </c>
      <c r="B5" s="9" t="s">
        <v>326</v>
      </c>
      <c r="C5" s="9" t="s">
        <v>327</v>
      </c>
      <c r="D5" s="7" t="s">
        <v>328</v>
      </c>
      <c r="E5" s="42" t="str">
        <f>TEXT(Process_Data!$B$10*Assumptions!$B$61,"0")&amp;" kWe-equiv. x "&amp;TEXT(Assumptions!$B$59,"#,##0")&amp;" GBP/kWe x (1-CHP share)"</f>
        <v>119 kWe-equiv. x 3,223 GBP/kWe x (1-CHP share)</v>
      </c>
      <c r="F5" s="10">
        <f>Process_Data!$B$10*Assumptions!$B$61*Assumptions!$B$59*(1-Assumptions!$B$60)*Assumptions!$B$57*Assumptions!$B$53/Assumptions!$B$54</f>
        <v>803441.53737396339</v>
      </c>
      <c r="G5" s="9" t="s">
        <v>329</v>
      </c>
    </row>
    <row r="6" spans="1:7" ht="72" x14ac:dyDescent="0.25">
      <c r="A6" s="7">
        <v>2</v>
      </c>
      <c r="B6" s="9" t="s">
        <v>330</v>
      </c>
      <c r="C6" s="9" t="s">
        <v>331</v>
      </c>
      <c r="D6" s="7" t="s">
        <v>328</v>
      </c>
      <c r="E6" s="42" t="str">
        <f>TEXT(Process_Data!$B$9,"0.0")&amp;" Nm3/h; "&amp;TEXT(Assumptions!$B$62,"#,##0")&amp;" EUR/(Nm3/h) at "&amp;TEXT(Assumptions!$B$63,"0")&amp;" Nm3/h, scaled with exponent "&amp;TEXT(Assumptions!$B$64,"0.0")</f>
        <v>52.9 Nm3/h; 6,000 EUR/(Nm3/h) at 100 Nm3/h, scaled with exponent 0.6</v>
      </c>
      <c r="F6" s="10">
        <f>Assumptions!$B$62*Assumptions!$B$63*(Process_Data!$B$9/Assumptions!$B$63)^Assumptions!$B$64*Assumptions!$B$58</f>
        <v>442964.48756270466</v>
      </c>
      <c r="G6" s="9" t="s">
        <v>332</v>
      </c>
    </row>
    <row r="7" spans="1:7" ht="29.25" x14ac:dyDescent="0.25">
      <c r="A7" s="7">
        <v>3</v>
      </c>
      <c r="B7" s="9" t="s">
        <v>333</v>
      </c>
      <c r="C7" s="9" t="s">
        <v>334</v>
      </c>
      <c r="D7" s="7" t="s">
        <v>335</v>
      </c>
      <c r="E7" s="42" t="str">
        <f>TEXT(Process_Data!$B$12,"0.0")&amp;" m2 x ("&amp;TEXT(Assumptions!$B$44,"#,##0")&amp;" - "&amp;TEXT(Assumptions!$B$45,"0")&amp;") $/m2"</f>
        <v>5.0 m2 x (2,000 - 100) $/m2</v>
      </c>
      <c r="F7" s="10">
        <f>Process_Data!$B$12*(Assumptions!$B$44-Assumptions!$B$45)</f>
        <v>9500</v>
      </c>
      <c r="G7" s="9" t="s">
        <v>336</v>
      </c>
    </row>
    <row r="8" spans="1:7" ht="86.25" x14ac:dyDescent="0.25">
      <c r="A8" s="7">
        <v>4</v>
      </c>
      <c r="B8" s="9" t="s">
        <v>337</v>
      </c>
      <c r="C8" s="9" t="s">
        <v>338</v>
      </c>
      <c r="D8" s="7" t="s">
        <v>335</v>
      </c>
      <c r="E8" s="42" t="str">
        <f>"Turton vertical vessel, V = 2.12 m3, Ni alloy Fm "&amp;TEXT(Assumptions!$B$68,"0.0")</f>
        <v>Turton vertical vessel, V = 2.12 m3, Ni alloy Fm 7.1</v>
      </c>
      <c r="F8" s="10">
        <f>10^(3.4974+0.4485*LOG10(2.12)+0.1074*LOG10(2.12)^2)*Assumptions!$B$68*Assumptions!$B$53/Assumptions!$B$56</f>
        <v>65120.955676155223</v>
      </c>
      <c r="G8" s="9" t="s">
        <v>339</v>
      </c>
    </row>
    <row r="9" spans="1:7" ht="57.75" x14ac:dyDescent="0.25">
      <c r="A9" s="7">
        <v>5</v>
      </c>
      <c r="B9" s="9" t="s">
        <v>340</v>
      </c>
      <c r="C9" s="9" t="s">
        <v>341</v>
      </c>
      <c r="D9" s="7" t="s">
        <v>335</v>
      </c>
      <c r="E9" s="42" t="str">
        <f>TEXT((Process_Data!$B$29+Process_Data!$B$32)/1000,"0.000")&amp;" MW duty"</f>
        <v>0.056 MW duty</v>
      </c>
      <c r="F9" s="10">
        <f>(80000+109000*((Process_Data!$B$29+Process_Data!$B$32)/1000)^0.8)*Assumptions!$B$53/Assumptions!$B$55</f>
        <v>136315.65213143642</v>
      </c>
      <c r="G9" s="9" t="s">
        <v>342</v>
      </c>
    </row>
    <row r="10" spans="1:7" x14ac:dyDescent="0.25">
      <c r="A10" s="7">
        <v>6</v>
      </c>
      <c r="B10" s="9" t="s">
        <v>343</v>
      </c>
      <c r="C10" s="9" t="s">
        <v>338</v>
      </c>
      <c r="D10" s="7" t="s">
        <v>335</v>
      </c>
      <c r="E10" s="42" t="str">
        <f>TEXT(Process_Data!$B$23,"0.0")&amp;" kg x catalyst price"</f>
        <v>24.7 kg x catalyst price</v>
      </c>
      <c r="F10" s="10">
        <f>Process_Data!$B$23*Assumptions!$B$42</f>
        <v>986.72</v>
      </c>
      <c r="G10" s="9" t="s">
        <v>344</v>
      </c>
    </row>
    <row r="11" spans="1:7" ht="29.25" x14ac:dyDescent="0.25">
      <c r="A11" s="7">
        <v>7</v>
      </c>
      <c r="B11" s="9" t="s">
        <v>345</v>
      </c>
      <c r="C11" s="9" t="s">
        <v>346</v>
      </c>
      <c r="D11" s="7" t="s">
        <v>335</v>
      </c>
      <c r="E11" s="42" t="str">
        <f>"about 15.5 kg/h carbon"</f>
        <v>about 15.5 kg/h carbon</v>
      </c>
      <c r="F11" s="43">
        <v>30000</v>
      </c>
      <c r="G11" s="9" t="s">
        <v>347</v>
      </c>
    </row>
    <row r="12" spans="1:7" ht="43.5" x14ac:dyDescent="0.25">
      <c r="A12" s="7">
        <v>8</v>
      </c>
      <c r="B12" s="9" t="s">
        <v>348</v>
      </c>
      <c r="C12" s="9" t="s">
        <v>346</v>
      </c>
      <c r="D12" s="7" t="s">
        <v>335</v>
      </c>
      <c r="E12" s="42" t="str">
        <f>TEXT(Assumptions!$B$66,"0.0")&amp;" m2 double-pipe exchanger"</f>
        <v>2.0 m2 double-pipe exchanger</v>
      </c>
      <c r="F12" s="10">
        <f>(1900+2500*Assumptions!$B$66)*Assumptions!$B$53/Assumptions!$B$55</f>
        <v>10358.416213173203</v>
      </c>
      <c r="G12" s="9" t="s">
        <v>349</v>
      </c>
    </row>
    <row r="14" spans="1:7" x14ac:dyDescent="0.25">
      <c r="B14" s="7" t="s">
        <v>350</v>
      </c>
      <c r="F14" s="44">
        <f>SUMIF(D5:D12,"Turnkey",F5:F12)</f>
        <v>1246406.0249366681</v>
      </c>
      <c r="G14" s="9" t="s">
        <v>351</v>
      </c>
    </row>
    <row r="15" spans="1:7" x14ac:dyDescent="0.25">
      <c r="B15" s="7" t="s">
        <v>352</v>
      </c>
      <c r="F15" s="44">
        <f>F14*Assumptions!$B$65</f>
        <v>155800.75311708351</v>
      </c>
      <c r="G15" s="9" t="s">
        <v>353</v>
      </c>
    </row>
    <row r="16" spans="1:7" x14ac:dyDescent="0.25">
      <c r="B16" s="11" t="s">
        <v>354</v>
      </c>
      <c r="F16" s="19">
        <f>SUMIF(D5:D12,"Purchased",F5:F12)</f>
        <v>252281.74402076486</v>
      </c>
      <c r="G16" s="9" t="s">
        <v>355</v>
      </c>
    </row>
    <row r="17" spans="2:7" x14ac:dyDescent="0.25">
      <c r="B17" s="7" t="s">
        <v>356</v>
      </c>
      <c r="F17" s="44">
        <f>F16*Assumptions!$B$21</f>
        <v>761890.86694270989</v>
      </c>
      <c r="G17" s="9" t="s">
        <v>357</v>
      </c>
    </row>
    <row r="18" spans="2:7" x14ac:dyDescent="0.25">
      <c r="B18" s="7" t="s">
        <v>358</v>
      </c>
      <c r="F18" s="44">
        <f>F16*Assumptions!$B$22</f>
        <v>224530.75217848073</v>
      </c>
      <c r="G18" s="9" t="s">
        <v>359</v>
      </c>
    </row>
    <row r="19" spans="2:7" x14ac:dyDescent="0.25">
      <c r="B19" s="7" t="s">
        <v>360</v>
      </c>
      <c r="F19" s="44">
        <f>F14+F15+F17+F18</f>
        <v>2388628.3971749423</v>
      </c>
      <c r="G19" s="9" t="s">
        <v>361</v>
      </c>
    </row>
    <row r="20" spans="2:7" x14ac:dyDescent="0.25">
      <c r="B20" s="7" t="s">
        <v>362</v>
      </c>
      <c r="F20" s="44">
        <f>F19*Assumptions!$B$23</f>
        <v>477725.67943498847</v>
      </c>
      <c r="G20" s="9" t="s">
        <v>363</v>
      </c>
    </row>
    <row r="21" spans="2:7" x14ac:dyDescent="0.25">
      <c r="B21" s="7" t="s">
        <v>364</v>
      </c>
      <c r="F21" s="44">
        <f>F19+F20</f>
        <v>2866354.076609931</v>
      </c>
      <c r="G21" s="9" t="s">
        <v>365</v>
      </c>
    </row>
    <row r="22" spans="2:7" x14ac:dyDescent="0.25">
      <c r="B22" s="7" t="s">
        <v>366</v>
      </c>
      <c r="F22" s="44">
        <f>F21*Assumptions!$B$24</f>
        <v>286635.40766099311</v>
      </c>
      <c r="G22" s="9" t="s">
        <v>367</v>
      </c>
    </row>
    <row r="23" spans="2:7" x14ac:dyDescent="0.25">
      <c r="B23" s="11" t="s">
        <v>54</v>
      </c>
      <c r="F23" s="19">
        <f>F21+F22</f>
        <v>3152989.4842709242</v>
      </c>
      <c r="G23" s="9" t="s">
        <v>368</v>
      </c>
    </row>
    <row r="24" spans="2:7" x14ac:dyDescent="0.25">
      <c r="B24" s="7" t="s">
        <v>369</v>
      </c>
      <c r="F24" s="18">
        <f>(F14+F15)*(1+Assumptions!$B$23)*(1+Assumptions!$B$24)/F23</f>
        <v>0.58703429119077599</v>
      </c>
      <c r="G24" s="9" t="s">
        <v>370</v>
      </c>
    </row>
    <row r="25" spans="2:7" x14ac:dyDescent="0.25">
      <c r="B25" s="7" t="s">
        <v>371</v>
      </c>
      <c r="F25" s="18">
        <f>F11*(Assumptions!$B$21+Assumptions!$B$22)*(1+Assumptions!$B$23)*(1+Assumptions!$B$24)/F23</f>
        <v>4.9107680432306684E-2</v>
      </c>
      <c r="G25" s="9" t="s">
        <v>372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1"/>
  <sheetViews>
    <sheetView showGridLines="0" zoomScaleNormal="100" workbookViewId="0"/>
  </sheetViews>
  <sheetFormatPr defaultRowHeight="15" x14ac:dyDescent="0.25"/>
  <cols>
    <col min="1" max="1" width="52" customWidth="1"/>
    <col min="2" max="2" width="16" customWidth="1"/>
    <col min="3" max="3" width="14" customWidth="1"/>
    <col min="4" max="4" width="16" customWidth="1"/>
    <col min="5" max="5" width="70" customWidth="1"/>
  </cols>
  <sheetData>
    <row r="1" spans="1:5" ht="15.75" x14ac:dyDescent="0.25">
      <c r="A1" s="21" t="s">
        <v>373</v>
      </c>
    </row>
    <row r="3" spans="1:5" x14ac:dyDescent="0.25">
      <c r="A3" s="6" t="s">
        <v>109</v>
      </c>
      <c r="B3" s="6" t="s">
        <v>374</v>
      </c>
      <c r="C3" s="6" t="s">
        <v>43</v>
      </c>
      <c r="D3" s="6" t="s">
        <v>375</v>
      </c>
      <c r="E3" s="6" t="s">
        <v>376</v>
      </c>
    </row>
    <row r="4" spans="1:5" x14ac:dyDescent="0.25">
      <c r="A4" s="7" t="s">
        <v>377</v>
      </c>
      <c r="B4" s="45">
        <f>Assumptions!$B$5*Assumptions!$B$6</f>
        <v>7446</v>
      </c>
      <c r="C4" s="7" t="s">
        <v>175</v>
      </c>
      <c r="D4" s="7"/>
      <c r="E4" s="9" t="s">
        <v>378</v>
      </c>
    </row>
    <row r="5" spans="1:5" x14ac:dyDescent="0.25">
      <c r="A5" s="11" t="s">
        <v>77</v>
      </c>
    </row>
    <row r="6" spans="1:5" ht="29.25" x14ac:dyDescent="0.25">
      <c r="A6" s="7" t="s">
        <v>379</v>
      </c>
      <c r="B6" s="45">
        <f>(MAX(Process_Data!$B$25+Process_Data!$B$26,Assumptions!$B$40*Process_Data!$B$9)+Assumptions!$B$41)*B4</f>
        <v>93599.514110400021</v>
      </c>
      <c r="C6" s="7" t="s">
        <v>380</v>
      </c>
      <c r="D6" s="44">
        <f>B6*Assumptions!$B$31</f>
        <v>7609.6404971755219</v>
      </c>
      <c r="E6" s="9" t="s">
        <v>381</v>
      </c>
    </row>
    <row r="7" spans="1:5" x14ac:dyDescent="0.25">
      <c r="A7" s="7" t="s">
        <v>382</v>
      </c>
      <c r="B7" s="45">
        <f>(Process_Data!$B$27+Process_Data!$B$28)*B4*0.0036/Assumptions!$B$35</f>
        <v>890.89200000000005</v>
      </c>
      <c r="C7" s="7" t="s">
        <v>383</v>
      </c>
      <c r="D7" s="44">
        <f>B7*Assumptions!$B$34</f>
        <v>3203.1873628812564</v>
      </c>
      <c r="E7" s="9" t="s">
        <v>384</v>
      </c>
    </row>
    <row r="8" spans="1:5" x14ac:dyDescent="0.25">
      <c r="A8" s="7" t="s">
        <v>385</v>
      </c>
      <c r="B8" s="45">
        <f>(Process_Data!$B$29+Process_Data!$B$32)*B4*0.0036/Assumptions!$B$36</f>
        <v>1863.3573395474996</v>
      </c>
      <c r="C8" s="7" t="s">
        <v>383</v>
      </c>
      <c r="D8" s="44">
        <f>B8*Assumptions!$B$34</f>
        <v>6699.6703108464199</v>
      </c>
      <c r="E8" s="9" t="s">
        <v>386</v>
      </c>
    </row>
    <row r="9" spans="1:5" x14ac:dyDescent="0.25">
      <c r="A9" s="7" t="s">
        <v>387</v>
      </c>
      <c r="B9" s="45">
        <f>Process_Data!$B$36*B4*0.0036</f>
        <v>297.00604800000002</v>
      </c>
      <c r="C9" s="7" t="s">
        <v>383</v>
      </c>
      <c r="D9" s="44">
        <f>B9*Assumptions!$B$37</f>
        <v>103.9521168</v>
      </c>
      <c r="E9" s="9" t="s">
        <v>388</v>
      </c>
    </row>
    <row r="10" spans="1:5" x14ac:dyDescent="0.25">
      <c r="A10" s="11" t="s">
        <v>389</v>
      </c>
      <c r="B10" s="7"/>
      <c r="C10" s="7"/>
      <c r="D10" s="19">
        <f>SUM(D6:D9)</f>
        <v>17616.450287703199</v>
      </c>
      <c r="E10" s="9"/>
    </row>
    <row r="11" spans="1:5" x14ac:dyDescent="0.25">
      <c r="A11" s="11" t="s">
        <v>390</v>
      </c>
    </row>
    <row r="12" spans="1:5" x14ac:dyDescent="0.25">
      <c r="A12" s="7" t="s">
        <v>391</v>
      </c>
      <c r="B12" s="45">
        <f>Process_Data!$B$6*B4/1000</f>
        <v>4033.2502482</v>
      </c>
      <c r="C12" s="7" t="s">
        <v>392</v>
      </c>
      <c r="D12" s="44">
        <f>B12*Assumptions!$B$38</f>
        <v>2016.6251241</v>
      </c>
      <c r="E12" s="9" t="s">
        <v>393</v>
      </c>
    </row>
    <row r="13" spans="1:5" x14ac:dyDescent="0.25">
      <c r="A13" s="7" t="s">
        <v>394</v>
      </c>
      <c r="B13" s="45">
        <f>Process_Data!$B$5*B4/1000</f>
        <v>2637.1252482</v>
      </c>
      <c r="C13" s="7" t="s">
        <v>46</v>
      </c>
      <c r="D13" s="44">
        <f>B13*Assumptions!$B$39</f>
        <v>0</v>
      </c>
      <c r="E13" s="9" t="s">
        <v>395</v>
      </c>
    </row>
    <row r="14" spans="1:5" x14ac:dyDescent="0.25">
      <c r="A14" s="7" t="s">
        <v>396</v>
      </c>
      <c r="B14" s="45">
        <f>Process_Data!$B$23*Assumptions!$B$43</f>
        <v>24.667999999999999</v>
      </c>
      <c r="C14" s="7" t="s">
        <v>397</v>
      </c>
      <c r="D14" s="44">
        <f>B14*Assumptions!$B$42</f>
        <v>986.72</v>
      </c>
      <c r="E14" s="9" t="s">
        <v>398</v>
      </c>
    </row>
    <row r="15" spans="1:5" x14ac:dyDescent="0.25">
      <c r="A15" s="7" t="s">
        <v>399</v>
      </c>
      <c r="B15" s="45">
        <f>Process_Data!$B$12/Assumptions!$B$46</f>
        <v>1</v>
      </c>
      <c r="C15" s="7" t="s">
        <v>400</v>
      </c>
      <c r="D15" s="44">
        <f>B15*Assumptions!$B$44</f>
        <v>2000</v>
      </c>
      <c r="E15" s="9" t="s">
        <v>401</v>
      </c>
    </row>
    <row r="16" spans="1:5" x14ac:dyDescent="0.25">
      <c r="A16" s="11" t="s">
        <v>402</v>
      </c>
      <c r="B16" s="7"/>
      <c r="C16" s="7"/>
      <c r="D16" s="19">
        <f>SUM(D12:D15)</f>
        <v>5003.3451241000002</v>
      </c>
      <c r="E16" s="9"/>
    </row>
    <row r="17" spans="1:5" x14ac:dyDescent="0.25">
      <c r="A17" s="11" t="s">
        <v>403</v>
      </c>
    </row>
    <row r="18" spans="1:5" x14ac:dyDescent="0.25">
      <c r="A18" s="7" t="s">
        <v>79</v>
      </c>
      <c r="B18" s="45">
        <f>Assumptions!$B$47</f>
        <v>2</v>
      </c>
      <c r="C18" s="7" t="s">
        <v>253</v>
      </c>
      <c r="D18" s="44">
        <f>B18*Assumptions!$B$48</f>
        <v>160060</v>
      </c>
      <c r="E18" s="9" t="s">
        <v>404</v>
      </c>
    </row>
    <row r="19" spans="1:5" x14ac:dyDescent="0.25">
      <c r="A19" s="7" t="s">
        <v>80</v>
      </c>
      <c r="B19" s="7"/>
      <c r="C19" s="7"/>
      <c r="D19" s="44">
        <f>CAPEX!$F$23*Assumptions!$B$26</f>
        <v>94589.68452812772</v>
      </c>
      <c r="E19" s="9" t="s">
        <v>405</v>
      </c>
    </row>
    <row r="20" spans="1:5" x14ac:dyDescent="0.25">
      <c r="A20" s="11" t="s">
        <v>406</v>
      </c>
      <c r="B20" s="7"/>
      <c r="C20" s="7"/>
      <c r="D20" s="19">
        <f>D18+D19+D10+D16</f>
        <v>277269.4799399309</v>
      </c>
      <c r="E20" s="9" t="s">
        <v>407</v>
      </c>
    </row>
    <row r="21" spans="1:5" x14ac:dyDescent="0.25">
      <c r="A21" s="7" t="s">
        <v>408</v>
      </c>
      <c r="B21" s="7"/>
      <c r="C21" s="7"/>
      <c r="D21" s="44">
        <f>D18*Assumptions!$B$27</f>
        <v>40015</v>
      </c>
      <c r="E21" s="9" t="s">
        <v>409</v>
      </c>
    </row>
    <row r="22" spans="1:5" x14ac:dyDescent="0.25">
      <c r="A22" s="7" t="s">
        <v>410</v>
      </c>
      <c r="B22" s="7"/>
      <c r="C22" s="7"/>
      <c r="D22" s="44">
        <f>(D18+D19)*Assumptions!$B$28</f>
        <v>127324.84226406386</v>
      </c>
      <c r="E22" s="9" t="s">
        <v>411</v>
      </c>
    </row>
    <row r="23" spans="1:5" x14ac:dyDescent="0.25">
      <c r="A23" s="7" t="s">
        <v>82</v>
      </c>
      <c r="B23" s="7"/>
      <c r="C23" s="7"/>
      <c r="D23" s="44">
        <f>D20*Assumptions!$B$29</f>
        <v>22181.558395194472</v>
      </c>
      <c r="E23" s="9" t="s">
        <v>412</v>
      </c>
    </row>
    <row r="24" spans="1:5" x14ac:dyDescent="0.25">
      <c r="A24" s="11" t="s">
        <v>413</v>
      </c>
      <c r="B24" s="7"/>
      <c r="C24" s="7"/>
      <c r="D24" s="19">
        <f>D20+D21+D22+D23</f>
        <v>466790.8805991892</v>
      </c>
      <c r="E24" s="9"/>
    </row>
    <row r="26" spans="1:5" x14ac:dyDescent="0.25">
      <c r="A26" s="11" t="s">
        <v>414</v>
      </c>
    </row>
    <row r="27" spans="1:5" x14ac:dyDescent="0.25">
      <c r="A27" s="7" t="s">
        <v>415</v>
      </c>
      <c r="B27" s="45">
        <f>Process_Data!$B$21*B4/1000</f>
        <v>114.39490916459998</v>
      </c>
      <c r="C27" s="7" t="s">
        <v>46</v>
      </c>
      <c r="D27" s="44">
        <f>B27*Assumptions!$B$49</f>
        <v>11439.490916459998</v>
      </c>
      <c r="E27" s="9" t="s">
        <v>416</v>
      </c>
    </row>
    <row r="28" spans="1:5" x14ac:dyDescent="0.25">
      <c r="A28" s="7" t="s">
        <v>417</v>
      </c>
      <c r="B28" s="45">
        <f>Process_Data!$B$11*B4/1000</f>
        <v>6130.3066920000001</v>
      </c>
      <c r="C28" s="7" t="s">
        <v>46</v>
      </c>
      <c r="D28" s="44">
        <f>B28*Assumptions!$B$50</f>
        <v>0</v>
      </c>
      <c r="E28" s="9" t="s">
        <v>418</v>
      </c>
    </row>
    <row r="29" spans="1:5" x14ac:dyDescent="0.25">
      <c r="A29" s="11" t="s">
        <v>419</v>
      </c>
      <c r="B29" s="7"/>
      <c r="C29" s="7"/>
      <c r="D29" s="19">
        <f>D27+D28</f>
        <v>11439.490916459998</v>
      </c>
      <c r="E29" s="9"/>
    </row>
    <row r="30" spans="1:5" x14ac:dyDescent="0.25">
      <c r="A30" s="11" t="s">
        <v>420</v>
      </c>
      <c r="B30" s="45">
        <f>Process_Data!$B$19*B4</f>
        <v>33172.6358808</v>
      </c>
      <c r="C30" s="7" t="s">
        <v>397</v>
      </c>
      <c r="D30" s="7"/>
      <c r="E30" s="9" t="s">
        <v>421</v>
      </c>
    </row>
    <row r="31" spans="1:5" x14ac:dyDescent="0.25">
      <c r="A31" s="11" t="s">
        <v>422</v>
      </c>
      <c r="B31" s="7"/>
      <c r="C31" s="7"/>
      <c r="D31" s="19">
        <f>D24-D29</f>
        <v>455351.3896827292</v>
      </c>
      <c r="E31" s="9"/>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7"/>
  <sheetViews>
    <sheetView showGridLines="0" zoomScaleNormal="100" workbookViewId="0">
      <pane xSplit="1" ySplit="3" topLeftCell="B4" activePane="bottomRight" state="frozen"/>
      <selection pane="topRight"/>
      <selection pane="bottomLeft"/>
      <selection pane="bottomRight"/>
    </sheetView>
  </sheetViews>
  <sheetFormatPr defaultRowHeight="15" x14ac:dyDescent="0.25"/>
  <cols>
    <col min="1" max="1" width="40" customWidth="1"/>
    <col min="2" max="24" width="13" customWidth="1"/>
  </cols>
  <sheetData>
    <row r="1" spans="1:24" ht="15.75" x14ac:dyDescent="0.25">
      <c r="A1" s="21" t="s">
        <v>423</v>
      </c>
    </row>
    <row r="2" spans="1:24" x14ac:dyDescent="0.25">
      <c r="A2" s="5" t="s">
        <v>424</v>
      </c>
    </row>
    <row r="4" spans="1:24" x14ac:dyDescent="0.25">
      <c r="A4" s="46" t="s">
        <v>425</v>
      </c>
      <c r="B4" s="47">
        <v>1</v>
      </c>
      <c r="C4" s="47">
        <v>2</v>
      </c>
      <c r="D4" s="47">
        <v>3</v>
      </c>
      <c r="E4" s="47">
        <v>4</v>
      </c>
      <c r="F4" s="47">
        <v>5</v>
      </c>
      <c r="G4" s="47">
        <v>6</v>
      </c>
      <c r="H4" s="47">
        <v>7</v>
      </c>
      <c r="I4" s="47">
        <v>8</v>
      </c>
      <c r="J4" s="47">
        <v>9</v>
      </c>
      <c r="K4" s="47">
        <v>10</v>
      </c>
      <c r="L4" s="47">
        <v>11</v>
      </c>
      <c r="M4" s="47">
        <v>12</v>
      </c>
      <c r="N4" s="47">
        <v>13</v>
      </c>
      <c r="O4" s="47">
        <v>14</v>
      </c>
      <c r="P4" s="47">
        <v>15</v>
      </c>
      <c r="Q4" s="47">
        <v>16</v>
      </c>
      <c r="R4" s="47">
        <v>17</v>
      </c>
      <c r="S4" s="47">
        <v>18</v>
      </c>
      <c r="T4" s="47">
        <v>19</v>
      </c>
      <c r="U4" s="47">
        <v>20</v>
      </c>
      <c r="V4" s="47">
        <v>21</v>
      </c>
      <c r="W4" s="47">
        <v>22</v>
      </c>
      <c r="X4" s="47">
        <v>23</v>
      </c>
    </row>
    <row r="5" spans="1:24" x14ac:dyDescent="0.25">
      <c r="A5" s="46" t="s">
        <v>426</v>
      </c>
      <c r="B5" s="48" t="s">
        <v>427</v>
      </c>
      <c r="C5" s="48" t="s">
        <v>427</v>
      </c>
      <c r="D5" s="48" t="s">
        <v>427</v>
      </c>
      <c r="E5" s="48" t="s">
        <v>428</v>
      </c>
      <c r="F5" s="48" t="s">
        <v>428</v>
      </c>
      <c r="G5" s="48" t="s">
        <v>428</v>
      </c>
      <c r="H5" s="48" t="s">
        <v>428</v>
      </c>
      <c r="I5" s="48" t="s">
        <v>428</v>
      </c>
      <c r="J5" s="48" t="s">
        <v>428</v>
      </c>
      <c r="K5" s="48" t="s">
        <v>428</v>
      </c>
      <c r="L5" s="48" t="s">
        <v>428</v>
      </c>
      <c r="M5" s="48" t="s">
        <v>428</v>
      </c>
      <c r="N5" s="48" t="s">
        <v>428</v>
      </c>
      <c r="O5" s="48" t="s">
        <v>428</v>
      </c>
      <c r="P5" s="48" t="s">
        <v>428</v>
      </c>
      <c r="Q5" s="48" t="s">
        <v>428</v>
      </c>
      <c r="R5" s="48" t="s">
        <v>428</v>
      </c>
      <c r="S5" s="48" t="s">
        <v>428</v>
      </c>
      <c r="T5" s="48" t="s">
        <v>428</v>
      </c>
      <c r="U5" s="48" t="s">
        <v>428</v>
      </c>
      <c r="V5" s="48" t="s">
        <v>428</v>
      </c>
      <c r="W5" s="48" t="s">
        <v>428</v>
      </c>
      <c r="X5" s="48" t="s">
        <v>428</v>
      </c>
    </row>
    <row r="6" spans="1:24" x14ac:dyDescent="0.25">
      <c r="A6" s="46" t="s">
        <v>429</v>
      </c>
      <c r="B6" s="47">
        <f t="shared" ref="B6:X6" si="0">MAX(0,B4-3)</f>
        <v>0</v>
      </c>
      <c r="C6" s="47">
        <f t="shared" si="0"/>
        <v>0</v>
      </c>
      <c r="D6" s="47">
        <f t="shared" si="0"/>
        <v>0</v>
      </c>
      <c r="E6" s="47">
        <f t="shared" si="0"/>
        <v>1</v>
      </c>
      <c r="F6" s="47">
        <f t="shared" si="0"/>
        <v>2</v>
      </c>
      <c r="G6" s="47">
        <f t="shared" si="0"/>
        <v>3</v>
      </c>
      <c r="H6" s="47">
        <f t="shared" si="0"/>
        <v>4</v>
      </c>
      <c r="I6" s="47">
        <f t="shared" si="0"/>
        <v>5</v>
      </c>
      <c r="J6" s="47">
        <f t="shared" si="0"/>
        <v>6</v>
      </c>
      <c r="K6" s="47">
        <f t="shared" si="0"/>
        <v>7</v>
      </c>
      <c r="L6" s="47">
        <f t="shared" si="0"/>
        <v>8</v>
      </c>
      <c r="M6" s="47">
        <f t="shared" si="0"/>
        <v>9</v>
      </c>
      <c r="N6" s="47">
        <f t="shared" si="0"/>
        <v>10</v>
      </c>
      <c r="O6" s="47">
        <f t="shared" si="0"/>
        <v>11</v>
      </c>
      <c r="P6" s="47">
        <f t="shared" si="0"/>
        <v>12</v>
      </c>
      <c r="Q6" s="47">
        <f t="shared" si="0"/>
        <v>13</v>
      </c>
      <c r="R6" s="47">
        <f t="shared" si="0"/>
        <v>14</v>
      </c>
      <c r="S6" s="47">
        <f t="shared" si="0"/>
        <v>15</v>
      </c>
      <c r="T6" s="47">
        <f t="shared" si="0"/>
        <v>16</v>
      </c>
      <c r="U6" s="47">
        <f t="shared" si="0"/>
        <v>17</v>
      </c>
      <c r="V6" s="47">
        <f t="shared" si="0"/>
        <v>18</v>
      </c>
      <c r="W6" s="47">
        <f t="shared" si="0"/>
        <v>19</v>
      </c>
      <c r="X6" s="47">
        <f t="shared" si="0"/>
        <v>20</v>
      </c>
    </row>
    <row r="7" spans="1:24" x14ac:dyDescent="0.25">
      <c r="A7" s="46" t="s">
        <v>430</v>
      </c>
      <c r="B7" s="49">
        <f>Assumptions!$B$11</f>
        <v>0.2</v>
      </c>
      <c r="C7" s="49">
        <f>Assumptions!$B$12</f>
        <v>0.35</v>
      </c>
      <c r="D7" s="49">
        <f>Assumptions!$B$13</f>
        <v>0.45</v>
      </c>
      <c r="E7" s="18">
        <v>0</v>
      </c>
      <c r="F7" s="18">
        <v>0</v>
      </c>
      <c r="G7" s="18">
        <v>0</v>
      </c>
      <c r="H7" s="18">
        <v>0</v>
      </c>
      <c r="I7" s="18">
        <v>0</v>
      </c>
      <c r="J7" s="18">
        <v>0</v>
      </c>
      <c r="K7" s="18">
        <v>0</v>
      </c>
      <c r="L7" s="18">
        <v>0</v>
      </c>
      <c r="M7" s="18">
        <v>0</v>
      </c>
      <c r="N7" s="18">
        <v>0</v>
      </c>
      <c r="O7" s="18">
        <v>0</v>
      </c>
      <c r="P7" s="18">
        <v>0</v>
      </c>
      <c r="Q7" s="18">
        <v>0</v>
      </c>
      <c r="R7" s="18">
        <v>0</v>
      </c>
      <c r="S7" s="18">
        <v>0</v>
      </c>
      <c r="T7" s="18">
        <v>0</v>
      </c>
      <c r="U7" s="18">
        <v>0</v>
      </c>
      <c r="V7" s="18">
        <v>0</v>
      </c>
      <c r="W7" s="18">
        <v>0</v>
      </c>
      <c r="X7" s="18">
        <v>0</v>
      </c>
    </row>
    <row r="8" spans="1:24" x14ac:dyDescent="0.25">
      <c r="A8" s="46" t="s">
        <v>431</v>
      </c>
      <c r="B8" s="50">
        <f>IF(B6=0,0,IF(B6=1,Assumptions!$B$7,IF(B6=2,Assumptions!$B$8,Assumptions!$B$6)))</f>
        <v>0</v>
      </c>
      <c r="C8" s="50">
        <f>IF(C6=0,0,IF(C6=1,Assumptions!$B$7,IF(C6=2,Assumptions!$B$8,Assumptions!$B$6)))</f>
        <v>0</v>
      </c>
      <c r="D8" s="50">
        <f>IF(D6=0,0,IF(D6=1,Assumptions!$B$7,IF(D6=2,Assumptions!$B$8,Assumptions!$B$6)))</f>
        <v>0</v>
      </c>
      <c r="E8" s="50">
        <f>IF(E6=0,0,IF(E6=1,Assumptions!$B$7,IF(E6=2,Assumptions!$B$8,Assumptions!$B$6)))</f>
        <v>0.7</v>
      </c>
      <c r="F8" s="50">
        <f>IF(F6=0,0,IF(F6=1,Assumptions!$B$7,IF(F6=2,Assumptions!$B$8,Assumptions!$B$6)))</f>
        <v>0.8</v>
      </c>
      <c r="G8" s="50">
        <f>IF(G6=0,0,IF(G6=1,Assumptions!$B$7,IF(G6=2,Assumptions!$B$8,Assumptions!$B$6)))</f>
        <v>0.85</v>
      </c>
      <c r="H8" s="50">
        <f>IF(H6=0,0,IF(H6=1,Assumptions!$B$7,IF(H6=2,Assumptions!$B$8,Assumptions!$B$6)))</f>
        <v>0.85</v>
      </c>
      <c r="I8" s="50">
        <f>IF(I6=0,0,IF(I6=1,Assumptions!$B$7,IF(I6=2,Assumptions!$B$8,Assumptions!$B$6)))</f>
        <v>0.85</v>
      </c>
      <c r="J8" s="50">
        <f>IF(J6=0,0,IF(J6=1,Assumptions!$B$7,IF(J6=2,Assumptions!$B$8,Assumptions!$B$6)))</f>
        <v>0.85</v>
      </c>
      <c r="K8" s="50">
        <f>IF(K6=0,0,IF(K6=1,Assumptions!$B$7,IF(K6=2,Assumptions!$B$8,Assumptions!$B$6)))</f>
        <v>0.85</v>
      </c>
      <c r="L8" s="50">
        <f>IF(L6=0,0,IF(L6=1,Assumptions!$B$7,IF(L6=2,Assumptions!$B$8,Assumptions!$B$6)))</f>
        <v>0.85</v>
      </c>
      <c r="M8" s="50">
        <f>IF(M6=0,0,IF(M6=1,Assumptions!$B$7,IF(M6=2,Assumptions!$B$8,Assumptions!$B$6)))</f>
        <v>0.85</v>
      </c>
      <c r="N8" s="50">
        <f>IF(N6=0,0,IF(N6=1,Assumptions!$B$7,IF(N6=2,Assumptions!$B$8,Assumptions!$B$6)))</f>
        <v>0.85</v>
      </c>
      <c r="O8" s="50">
        <f>IF(O6=0,0,IF(O6=1,Assumptions!$B$7,IF(O6=2,Assumptions!$B$8,Assumptions!$B$6)))</f>
        <v>0.85</v>
      </c>
      <c r="P8" s="50">
        <f>IF(P6=0,0,IF(P6=1,Assumptions!$B$7,IF(P6=2,Assumptions!$B$8,Assumptions!$B$6)))</f>
        <v>0.85</v>
      </c>
      <c r="Q8" s="50">
        <f>IF(Q6=0,0,IF(Q6=1,Assumptions!$B$7,IF(Q6=2,Assumptions!$B$8,Assumptions!$B$6)))</f>
        <v>0.85</v>
      </c>
      <c r="R8" s="50">
        <f>IF(R6=0,0,IF(R6=1,Assumptions!$B$7,IF(R6=2,Assumptions!$B$8,Assumptions!$B$6)))</f>
        <v>0.85</v>
      </c>
      <c r="S8" s="50">
        <f>IF(S6=0,0,IF(S6=1,Assumptions!$B$7,IF(S6=2,Assumptions!$B$8,Assumptions!$B$6)))</f>
        <v>0.85</v>
      </c>
      <c r="T8" s="50">
        <f>IF(T6=0,0,IF(T6=1,Assumptions!$B$7,IF(T6=2,Assumptions!$B$8,Assumptions!$B$6)))</f>
        <v>0.85</v>
      </c>
      <c r="U8" s="50">
        <f>IF(U6=0,0,IF(U6=1,Assumptions!$B$7,IF(U6=2,Assumptions!$B$8,Assumptions!$B$6)))</f>
        <v>0.85</v>
      </c>
      <c r="V8" s="50">
        <f>IF(V6=0,0,IF(V6=1,Assumptions!$B$7,IF(V6=2,Assumptions!$B$8,Assumptions!$B$6)))</f>
        <v>0.85</v>
      </c>
      <c r="W8" s="50">
        <f>IF(W6=0,0,IF(W6=1,Assumptions!$B$7,IF(W6=2,Assumptions!$B$8,Assumptions!$B$6)))</f>
        <v>0.85</v>
      </c>
      <c r="X8" s="50">
        <f>IF(X6=0,0,IF(X6=1,Assumptions!$B$7,IF(X6=2,Assumptions!$B$8,Assumptions!$B$6)))</f>
        <v>0.85</v>
      </c>
    </row>
    <row r="9" spans="1:24" x14ac:dyDescent="0.25">
      <c r="A9" s="46" t="s">
        <v>432</v>
      </c>
      <c r="B9" s="51">
        <f>1/(1+Assumptions!$B$10)^B4</f>
        <v>0.90909090909090906</v>
      </c>
      <c r="C9" s="51">
        <f>1/(1+Assumptions!$B$10)^C4</f>
        <v>0.82644628099173545</v>
      </c>
      <c r="D9" s="51">
        <f>1/(1+Assumptions!$B$10)^D4</f>
        <v>0.75131480090157754</v>
      </c>
      <c r="E9" s="51">
        <f>1/(1+Assumptions!$B$10)^E4</f>
        <v>0.68301345536507052</v>
      </c>
      <c r="F9" s="51">
        <f>1/(1+Assumptions!$B$10)^F4</f>
        <v>0.62092132305915493</v>
      </c>
      <c r="G9" s="51">
        <f>1/(1+Assumptions!$B$10)^G4</f>
        <v>0.56447393005377722</v>
      </c>
      <c r="H9" s="51">
        <f>1/(1+Assumptions!$B$10)^H4</f>
        <v>0.51315811823070645</v>
      </c>
      <c r="I9" s="51">
        <f>1/(1+Assumptions!$B$10)^I4</f>
        <v>0.46650738020973315</v>
      </c>
      <c r="J9" s="51">
        <f>1/(1+Assumptions!$B$10)^J4</f>
        <v>0.42409761837248466</v>
      </c>
      <c r="K9" s="51">
        <f>1/(1+Assumptions!$B$10)^K4</f>
        <v>0.38554328942953148</v>
      </c>
      <c r="L9" s="51">
        <f>1/(1+Assumptions!$B$10)^L4</f>
        <v>0.3504938994813922</v>
      </c>
      <c r="M9" s="51">
        <f>1/(1+Assumptions!$B$10)^M4</f>
        <v>0.31863081771035656</v>
      </c>
      <c r="N9" s="51">
        <f>1/(1+Assumptions!$B$10)^N4</f>
        <v>0.28966437973668779</v>
      </c>
      <c r="O9" s="51">
        <f>1/(1+Assumptions!$B$10)^O4</f>
        <v>0.26333125430607973</v>
      </c>
      <c r="P9" s="51">
        <f>1/(1+Assumptions!$B$10)^P4</f>
        <v>0.23939204936916339</v>
      </c>
      <c r="Q9" s="51">
        <f>1/(1+Assumptions!$B$10)^Q4</f>
        <v>0.21762913579014853</v>
      </c>
      <c r="R9" s="51">
        <f>1/(1+Assumptions!$B$10)^R4</f>
        <v>0.19784466890013502</v>
      </c>
      <c r="S9" s="51">
        <f>1/(1+Assumptions!$B$10)^S4</f>
        <v>0.17985878990921364</v>
      </c>
      <c r="T9" s="51">
        <f>1/(1+Assumptions!$B$10)^T4</f>
        <v>0.16350799082655781</v>
      </c>
      <c r="U9" s="51">
        <f>1/(1+Assumptions!$B$10)^U4</f>
        <v>0.14864362802414349</v>
      </c>
      <c r="V9" s="51">
        <f>1/(1+Assumptions!$B$10)^V4</f>
        <v>0.13513057093103953</v>
      </c>
      <c r="W9" s="51">
        <f>1/(1+Assumptions!$B$10)^W4</f>
        <v>0.12284597357367227</v>
      </c>
      <c r="X9" s="51">
        <f>1/(1+Assumptions!$B$10)^X4</f>
        <v>0.11167815779424752</v>
      </c>
    </row>
    <row r="10" spans="1:24" x14ac:dyDescent="0.25">
      <c r="A10" s="46" t="s">
        <v>433</v>
      </c>
      <c r="B10" s="44">
        <f>CAPEX!$F$23*B7*(1+Assumptions!$B$14)^(B4-1)</f>
        <v>630597.89685418492</v>
      </c>
      <c r="C10" s="44">
        <f>CAPEX!$F$23*C7*(1+Assumptions!$B$14)^(C4-1)</f>
        <v>1158723.6354695647</v>
      </c>
      <c r="D10" s="44">
        <f>CAPEX!$F$23*D7*(1+Assumptions!$B$14)^(D4-1)</f>
        <v>1564276.9078839123</v>
      </c>
      <c r="E10" s="44">
        <f>CAPEX!$F$23*E7*(1+Assumptions!$B$14)^(E4-1)</f>
        <v>0</v>
      </c>
      <c r="F10" s="44">
        <f>CAPEX!$F$23*F7*(1+Assumptions!$B$14)^(F4-1)</f>
        <v>0</v>
      </c>
      <c r="G10" s="44">
        <f>CAPEX!$F$23*G7*(1+Assumptions!$B$14)^(G4-1)</f>
        <v>0</v>
      </c>
      <c r="H10" s="44">
        <f>CAPEX!$F$23*H7*(1+Assumptions!$B$14)^(H4-1)</f>
        <v>0</v>
      </c>
      <c r="I10" s="44">
        <f>CAPEX!$F$23*I7*(1+Assumptions!$B$14)^(I4-1)</f>
        <v>0</v>
      </c>
      <c r="J10" s="44">
        <f>CAPEX!$F$23*J7*(1+Assumptions!$B$14)^(J4-1)</f>
        <v>0</v>
      </c>
      <c r="K10" s="44">
        <f>CAPEX!$F$23*K7*(1+Assumptions!$B$14)^(K4-1)</f>
        <v>0</v>
      </c>
      <c r="L10" s="44">
        <f>CAPEX!$F$23*L7*(1+Assumptions!$B$14)^(L4-1)</f>
        <v>0</v>
      </c>
      <c r="M10" s="44">
        <f>CAPEX!$F$23*M7*(1+Assumptions!$B$14)^(M4-1)</f>
        <v>0</v>
      </c>
      <c r="N10" s="44">
        <f>CAPEX!$F$23*N7*(1+Assumptions!$B$14)^(N4-1)</f>
        <v>0</v>
      </c>
      <c r="O10" s="44">
        <f>CAPEX!$F$23*O7*(1+Assumptions!$B$14)^(O4-1)</f>
        <v>0</v>
      </c>
      <c r="P10" s="44">
        <f>CAPEX!$F$23*P7*(1+Assumptions!$B$14)^(P4-1)</f>
        <v>0</v>
      </c>
      <c r="Q10" s="44">
        <f>CAPEX!$F$23*Q7*(1+Assumptions!$B$14)^(Q4-1)</f>
        <v>0</v>
      </c>
      <c r="R10" s="44">
        <f>CAPEX!$F$23*R7*(1+Assumptions!$B$14)^(R4-1)</f>
        <v>0</v>
      </c>
      <c r="S10" s="44">
        <f>CAPEX!$F$23*S7*(1+Assumptions!$B$14)^(S4-1)</f>
        <v>0</v>
      </c>
      <c r="T10" s="44">
        <f>CAPEX!$F$23*T7*(1+Assumptions!$B$14)^(T4-1)</f>
        <v>0</v>
      </c>
      <c r="U10" s="44">
        <f>CAPEX!$F$23*U7*(1+Assumptions!$B$14)^(U4-1)</f>
        <v>0</v>
      </c>
      <c r="V10" s="44">
        <f>CAPEX!$F$23*V7*(1+Assumptions!$B$14)^(V4-1)</f>
        <v>0</v>
      </c>
      <c r="W10" s="44">
        <f>CAPEX!$F$23*W7*(1+Assumptions!$B$14)^(W4-1)</f>
        <v>0</v>
      </c>
      <c r="X10" s="44">
        <f>CAPEX!$F$23*X7*(1+Assumptions!$B$14)^(X4-1)</f>
        <v>0</v>
      </c>
    </row>
    <row r="11" spans="1:24" x14ac:dyDescent="0.25">
      <c r="A11" s="46" t="s">
        <v>77</v>
      </c>
      <c r="B11" s="44">
        <f>IF(B6=0,0,OPEX!$D$10*B8/Assumptions!$B$6*(1+Assumptions!$B$18)^(B4-1))</f>
        <v>0</v>
      </c>
      <c r="C11" s="44">
        <f>IF(C6=0,0,OPEX!$D$10*C8/Assumptions!$B$6*(1+Assumptions!$B$18)^(C4-1))</f>
        <v>0</v>
      </c>
      <c r="D11" s="44">
        <f>IF(D6=0,0,OPEX!$D$10*D8/Assumptions!$B$6*(1+Assumptions!$B$18)^(D4-1))</f>
        <v>0</v>
      </c>
      <c r="E11" s="44">
        <f>IF(E6=0,0,OPEX!$D$10*E8/Assumptions!$B$6*(1+Assumptions!$B$18)^(E4-1))</f>
        <v>15852.917189966747</v>
      </c>
      <c r="F11" s="44">
        <f>IF(F6=0,0,OPEX!$D$10*F8/Assumptions!$B$6*(1+Assumptions!$B$18)^(F4-1))</f>
        <v>18661.148235046578</v>
      </c>
      <c r="G11" s="44">
        <f>IF(G6=0,0,OPEX!$D$10*G8/Assumptions!$B$6*(1+Assumptions!$B$18)^(G4-1))</f>
        <v>20422.294099729093</v>
      </c>
      <c r="H11" s="44">
        <f>IF(H6=0,0,OPEX!$D$10*H8/Assumptions!$B$6*(1+Assumptions!$B$18)^(H4-1))</f>
        <v>21034.962922720966</v>
      </c>
      <c r="I11" s="44">
        <f>IF(I6=0,0,OPEX!$D$10*I8/Assumptions!$B$6*(1+Assumptions!$B$18)^(I4-1))</f>
        <v>21666.011810402597</v>
      </c>
      <c r="J11" s="44">
        <f>IF(J6=0,0,OPEX!$D$10*J8/Assumptions!$B$6*(1+Assumptions!$B$18)^(J4-1))</f>
        <v>22315.992164714673</v>
      </c>
      <c r="K11" s="44">
        <f>IF(K6=0,0,OPEX!$D$10*K8/Assumptions!$B$6*(1+Assumptions!$B$18)^(K4-1))</f>
        <v>22985.471929656112</v>
      </c>
      <c r="L11" s="44">
        <f>IF(L6=0,0,OPEX!$D$10*L8/Assumptions!$B$6*(1+Assumptions!$B$18)^(L4-1))</f>
        <v>23675.036087545795</v>
      </c>
      <c r="M11" s="44">
        <f>IF(M6=0,0,OPEX!$D$10*M8/Assumptions!$B$6*(1+Assumptions!$B$18)^(M4-1))</f>
        <v>24385.287170172171</v>
      </c>
      <c r="N11" s="44">
        <f>IF(N6=0,0,OPEX!$D$10*N8/Assumptions!$B$6*(1+Assumptions!$B$18)^(N4-1))</f>
        <v>25116.845785277332</v>
      </c>
      <c r="O11" s="44">
        <f>IF(O6=0,0,OPEX!$D$10*O8/Assumptions!$B$6*(1+Assumptions!$B$18)^(O4-1))</f>
        <v>25870.351158835652</v>
      </c>
      <c r="P11" s="44">
        <f>IF(P6=0,0,OPEX!$D$10*P8/Assumptions!$B$6*(1+Assumptions!$B$18)^(P4-1))</f>
        <v>26646.461693600722</v>
      </c>
      <c r="Q11" s="44">
        <f>IF(Q6=0,0,OPEX!$D$10*Q8/Assumptions!$B$6*(1+Assumptions!$B$18)^(Q4-1))</f>
        <v>27445.855544408747</v>
      </c>
      <c r="R11" s="44">
        <f>IF(R6=0,0,OPEX!$D$10*R8/Assumptions!$B$6*(1+Assumptions!$B$18)^(R4-1))</f>
        <v>28269.231210741003</v>
      </c>
      <c r="S11" s="44">
        <f>IF(S6=0,0,OPEX!$D$10*S8/Assumptions!$B$6*(1+Assumptions!$B$18)^(S4-1))</f>
        <v>29117.308147063235</v>
      </c>
      <c r="T11" s="44">
        <f>IF(T6=0,0,OPEX!$D$10*T8/Assumptions!$B$6*(1+Assumptions!$B$18)^(T4-1))</f>
        <v>29990.82739147513</v>
      </c>
      <c r="U11" s="44">
        <f>IF(U6=0,0,OPEX!$D$10*U8/Assumptions!$B$6*(1+Assumptions!$B$18)^(U4-1))</f>
        <v>30890.552213219384</v>
      </c>
      <c r="V11" s="44">
        <f>IF(V6=0,0,OPEX!$D$10*V8/Assumptions!$B$6*(1+Assumptions!$B$18)^(V4-1))</f>
        <v>31817.268779615966</v>
      </c>
      <c r="W11" s="44">
        <f>IF(W6=0,0,OPEX!$D$10*W8/Assumptions!$B$6*(1+Assumptions!$B$18)^(W4-1))</f>
        <v>32771.78684300444</v>
      </c>
      <c r="X11" s="44">
        <f>IF(X6=0,0,OPEX!$D$10*X8/Assumptions!$B$6*(1+Assumptions!$B$18)^(X4-1))</f>
        <v>33754.940448294576</v>
      </c>
    </row>
    <row r="12" spans="1:24" x14ac:dyDescent="0.25">
      <c r="A12" s="46" t="s">
        <v>390</v>
      </c>
      <c r="B12" s="44">
        <f>IF(B6=0,0,OPEX!$D$16*B8/Assumptions!$B$6*(1+Assumptions!$B$16)^(B4-1))</f>
        <v>0</v>
      </c>
      <c r="C12" s="44">
        <f>IF(C6=0,0,OPEX!$D$16*C8/Assumptions!$B$6*(1+Assumptions!$B$16)^(C4-1))</f>
        <v>0</v>
      </c>
      <c r="D12" s="44">
        <f>IF(D6=0,0,OPEX!$D$16*D8/Assumptions!$B$6*(1+Assumptions!$B$16)^(D4-1))</f>
        <v>0</v>
      </c>
      <c r="E12" s="44">
        <f>IF(E6=0,0,OPEX!$D$16*E8/Assumptions!$B$6*(1+Assumptions!$B$16)^(E4-1))</f>
        <v>4568.363202021922</v>
      </c>
      <c r="F12" s="44">
        <f>IF(F6=0,0,OPEX!$D$16*F8/Assumptions!$B$6*(1+Assumptions!$B$16)^(F4-1))</f>
        <v>5403.7210446773597</v>
      </c>
      <c r="G12" s="44">
        <f>IF(G6=0,0,OPEX!$D$16*G8/Assumptions!$B$6*(1+Assumptions!$B$16)^(G4-1))</f>
        <v>5942.4044863186318</v>
      </c>
      <c r="H12" s="44">
        <f>IF(H6=0,0,OPEX!$D$16*H8/Assumptions!$B$6*(1+Assumptions!$B$16)^(H4-1))</f>
        <v>6150.3886433397847</v>
      </c>
      <c r="I12" s="44">
        <f>IF(I6=0,0,OPEX!$D$16*I8/Assumptions!$B$6*(1+Assumptions!$B$16)^(I4-1))</f>
        <v>6365.6522458566769</v>
      </c>
      <c r="J12" s="44">
        <f>IF(J6=0,0,OPEX!$D$16*J8/Assumptions!$B$6*(1+Assumptions!$B$16)^(J4-1))</f>
        <v>6588.4500744616589</v>
      </c>
      <c r="K12" s="44">
        <f>IF(K6=0,0,OPEX!$D$16*K8/Assumptions!$B$6*(1+Assumptions!$B$16)^(K4-1))</f>
        <v>6819.0458270678164</v>
      </c>
      <c r="L12" s="44">
        <f>IF(L6=0,0,OPEX!$D$16*L8/Assumptions!$B$6*(1+Assumptions!$B$16)^(L4-1))</f>
        <v>7057.7124310151894</v>
      </c>
      <c r="M12" s="44">
        <f>IF(M6=0,0,OPEX!$D$16*M8/Assumptions!$B$6*(1+Assumptions!$B$16)^(M4-1))</f>
        <v>7304.7323661007213</v>
      </c>
      <c r="N12" s="44">
        <f>IF(N6=0,0,OPEX!$D$16*N8/Assumptions!$B$6*(1+Assumptions!$B$16)^(N4-1))</f>
        <v>7560.3979989142463</v>
      </c>
      <c r="O12" s="44">
        <f>IF(O6=0,0,OPEX!$D$16*O8/Assumptions!$B$6*(1+Assumptions!$B$16)^(O4-1))</f>
        <v>7825.0119288762426</v>
      </c>
      <c r="P12" s="44">
        <f>IF(P6=0,0,OPEX!$D$16*P8/Assumptions!$B$6*(1+Assumptions!$B$16)^(P4-1))</f>
        <v>8098.8873463869122</v>
      </c>
      <c r="Q12" s="44">
        <f>IF(Q6=0,0,OPEX!$D$16*Q8/Assumptions!$B$6*(1+Assumptions!$B$16)^(Q4-1))</f>
        <v>8382.3484035104539</v>
      </c>
      <c r="R12" s="44">
        <f>IF(R6=0,0,OPEX!$D$16*R8/Assumptions!$B$6*(1+Assumptions!$B$16)^(R4-1))</f>
        <v>8675.7305976333173</v>
      </c>
      <c r="S12" s="44">
        <f>IF(S6=0,0,OPEX!$D$16*S8/Assumptions!$B$6*(1+Assumptions!$B$16)^(S4-1))</f>
        <v>8979.3811685504825</v>
      </c>
      <c r="T12" s="44">
        <f>IF(T6=0,0,OPEX!$D$16*T8/Assumptions!$B$6*(1+Assumptions!$B$16)^(T4-1))</f>
        <v>9293.6595094497497</v>
      </c>
      <c r="U12" s="44">
        <f>IF(U6=0,0,OPEX!$D$16*U8/Assumptions!$B$6*(1+Assumptions!$B$16)^(U4-1))</f>
        <v>9618.9375922804884</v>
      </c>
      <c r="V12" s="44">
        <f>IF(V6=0,0,OPEX!$D$16*V8/Assumptions!$B$6*(1+Assumptions!$B$16)^(V4-1))</f>
        <v>9955.6004080103048</v>
      </c>
      <c r="W12" s="44">
        <f>IF(W6=0,0,OPEX!$D$16*W8/Assumptions!$B$6*(1+Assumptions!$B$16)^(W4-1))</f>
        <v>10304.046422290665</v>
      </c>
      <c r="X12" s="44">
        <f>IF(X6=0,0,OPEX!$D$16*X8/Assumptions!$B$6*(1+Assumptions!$B$16)^(X4-1))</f>
        <v>10664.688047070838</v>
      </c>
    </row>
    <row r="13" spans="1:24" x14ac:dyDescent="0.25">
      <c r="A13" s="46" t="s">
        <v>434</v>
      </c>
      <c r="B13" s="44">
        <f>IF(B6=0,0,(OPEX!$D$18+OPEX!$D$19+OPEX!$D$21+OPEX!$D$22)*(1+Assumptions!$B$17)^(B4-1))</f>
        <v>0</v>
      </c>
      <c r="C13" s="44">
        <f>IF(C6=0,0,(OPEX!$D$18+OPEX!$D$19+OPEX!$D$21+OPEX!$D$22)*(1+Assumptions!$B$17)^(C4-1))</f>
        <v>0</v>
      </c>
      <c r="D13" s="44">
        <f>IF(D6=0,0,(OPEX!$D$18+OPEX!$D$19+OPEX!$D$21+OPEX!$D$22)*(1+Assumptions!$B$17)^(D4-1))</f>
        <v>0</v>
      </c>
      <c r="E13" s="44">
        <f>IF(E6=0,0,(OPEX!$D$18+OPEX!$D$19+OPEX!$D$21+OPEX!$D$22)*(1+Assumptions!$B$17)^(E4-1))</f>
        <v>461119.3496430511</v>
      </c>
      <c r="F13" s="44">
        <f>IF(F6=0,0,(OPEX!$D$18+OPEX!$D$19+OPEX!$D$21+OPEX!$D$22)*(1+Assumptions!$B$17)^(F4-1))</f>
        <v>474952.93013234262</v>
      </c>
      <c r="G13" s="44">
        <f>IF(G6=0,0,(OPEX!$D$18+OPEX!$D$19+OPEX!$D$21+OPEX!$D$22)*(1+Assumptions!$B$17)^(G4-1))</f>
        <v>489201.51803631283</v>
      </c>
      <c r="H13" s="44">
        <f>IF(H6=0,0,(OPEX!$D$18+OPEX!$D$19+OPEX!$D$21+OPEX!$D$22)*(1+Assumptions!$B$17)^(H4-1))</f>
        <v>503877.56357740227</v>
      </c>
      <c r="I13" s="44">
        <f>IF(I6=0,0,(OPEX!$D$18+OPEX!$D$19+OPEX!$D$21+OPEX!$D$22)*(1+Assumptions!$B$17)^(I4-1))</f>
        <v>518993.89048472437</v>
      </c>
      <c r="J13" s="44">
        <f>IF(J6=0,0,(OPEX!$D$18+OPEX!$D$19+OPEX!$D$21+OPEX!$D$22)*(1+Assumptions!$B$17)^(J4-1))</f>
        <v>534563.70719926606</v>
      </c>
      <c r="K13" s="44">
        <f>IF(K6=0,0,(OPEX!$D$18+OPEX!$D$19+OPEX!$D$21+OPEX!$D$22)*(1+Assumptions!$B$17)^(K4-1))</f>
        <v>550600.61841524404</v>
      </c>
      <c r="L13" s="44">
        <f>IF(L6=0,0,(OPEX!$D$18+OPEX!$D$19+OPEX!$D$21+OPEX!$D$22)*(1+Assumptions!$B$17)^(L4-1))</f>
        <v>567118.63696770137</v>
      </c>
      <c r="M13" s="44">
        <f>IF(M6=0,0,(OPEX!$D$18+OPEX!$D$19+OPEX!$D$21+OPEX!$D$22)*(1+Assumptions!$B$17)^(M4-1))</f>
        <v>584132.19607673236</v>
      </c>
      <c r="N13" s="44">
        <f>IF(N6=0,0,(OPEX!$D$18+OPEX!$D$19+OPEX!$D$21+OPEX!$D$22)*(1+Assumptions!$B$17)^(N4-1))</f>
        <v>601656.16195903427</v>
      </c>
      <c r="O13" s="44">
        <f>IF(O6=0,0,(OPEX!$D$18+OPEX!$D$19+OPEX!$D$21+OPEX!$D$22)*(1+Assumptions!$B$17)^(O4-1))</f>
        <v>619705.84681780532</v>
      </c>
      <c r="P13" s="44">
        <f>IF(P6=0,0,(OPEX!$D$18+OPEX!$D$19+OPEX!$D$21+OPEX!$D$22)*(1+Assumptions!$B$17)^(P4-1))</f>
        <v>638297.02222233952</v>
      </c>
      <c r="Q13" s="44">
        <f>IF(Q6=0,0,(OPEX!$D$18+OPEX!$D$19+OPEX!$D$21+OPEX!$D$22)*(1+Assumptions!$B$17)^(Q4-1))</f>
        <v>657445.93288900971</v>
      </c>
      <c r="R13" s="44">
        <f>IF(R6=0,0,(OPEX!$D$18+OPEX!$D$19+OPEX!$D$21+OPEX!$D$22)*(1+Assumptions!$B$17)^(R4-1))</f>
        <v>677169.31087567995</v>
      </c>
      <c r="S13" s="44">
        <f>IF(S6=0,0,(OPEX!$D$18+OPEX!$D$19+OPEX!$D$21+OPEX!$D$22)*(1+Assumptions!$B$17)^(S4-1))</f>
        <v>697484.39020195033</v>
      </c>
      <c r="T13" s="44">
        <f>IF(T6=0,0,(OPEX!$D$18+OPEX!$D$19+OPEX!$D$21+OPEX!$D$22)*(1+Assumptions!$B$17)^(T4-1))</f>
        <v>718408.92190800887</v>
      </c>
      <c r="U13" s="44">
        <f>IF(U6=0,0,(OPEX!$D$18+OPEX!$D$19+OPEX!$D$21+OPEX!$D$22)*(1+Assumptions!$B$17)^(U4-1))</f>
        <v>739961.18956524902</v>
      </c>
      <c r="V13" s="44">
        <f>IF(V6=0,0,(OPEX!$D$18+OPEX!$D$19+OPEX!$D$21+OPEX!$D$22)*(1+Assumptions!$B$17)^(V4-1))</f>
        <v>762160.02525220648</v>
      </c>
      <c r="W13" s="44">
        <f>IF(W6=0,0,(OPEX!$D$18+OPEX!$D$19+OPEX!$D$21+OPEX!$D$22)*(1+Assumptions!$B$17)^(W4-1))</f>
        <v>785024.8260097726</v>
      </c>
      <c r="X13" s="44">
        <f>IF(X6=0,0,(OPEX!$D$18+OPEX!$D$19+OPEX!$D$21+OPEX!$D$22)*(1+Assumptions!$B$17)^(X4-1))</f>
        <v>808575.57079006592</v>
      </c>
    </row>
    <row r="14" spans="1:24" x14ac:dyDescent="0.25">
      <c r="A14" s="46" t="s">
        <v>82</v>
      </c>
      <c r="B14" s="44">
        <f>IF(B6=0,0,OPEX!$D$23*(1+Assumptions!$B$19)^(B4-1))</f>
        <v>0</v>
      </c>
      <c r="C14" s="44">
        <f>IF(C6=0,0,OPEX!$D$23*(1+Assumptions!$B$19)^(C4-1))</f>
        <v>0</v>
      </c>
      <c r="D14" s="44">
        <f>IF(D6=0,0,OPEX!$D$23*(1+Assumptions!$B$19)^(D4-1))</f>
        <v>0</v>
      </c>
      <c r="E14" s="44">
        <f>IF(E6=0,0,OPEX!$D$23*(1+Assumptions!$B$19)^(E4-1))</f>
        <v>24593.090288108418</v>
      </c>
      <c r="F14" s="44">
        <f>IF(F6=0,0,OPEX!$D$23*(1+Assumptions!$B$19)^(F4-1))</f>
        <v>25453.848448192213</v>
      </c>
      <c r="G14" s="44">
        <f>IF(G6=0,0,OPEX!$D$23*(1+Assumptions!$B$19)^(G4-1))</f>
        <v>26344.733143878937</v>
      </c>
      <c r="H14" s="44">
        <f>IF(H6=0,0,OPEX!$D$23*(1+Assumptions!$B$19)^(H4-1))</f>
        <v>27266.798803914702</v>
      </c>
      <c r="I14" s="44">
        <f>IF(I6=0,0,OPEX!$D$23*(1+Assumptions!$B$19)^(I4-1))</f>
        <v>28221.136762051712</v>
      </c>
      <c r="J14" s="44">
        <f>IF(J6=0,0,OPEX!$D$23*(1+Assumptions!$B$19)^(J4-1))</f>
        <v>29208.876548723518</v>
      </c>
      <c r="K14" s="44">
        <f>IF(K6=0,0,OPEX!$D$23*(1+Assumptions!$B$19)^(K4-1))</f>
        <v>30231.187227928836</v>
      </c>
      <c r="L14" s="44">
        <f>IF(L6=0,0,OPEX!$D$23*(1+Assumptions!$B$19)^(L4-1))</f>
        <v>31289.278780906345</v>
      </c>
      <c r="M14" s="44">
        <f>IF(M6=0,0,OPEX!$D$23*(1+Assumptions!$B$19)^(M4-1))</f>
        <v>32384.403538238068</v>
      </c>
      <c r="N14" s="44">
        <f>IF(N6=0,0,OPEX!$D$23*(1+Assumptions!$B$19)^(N4-1))</f>
        <v>33517.8576620764</v>
      </c>
      <c r="O14" s="44">
        <f>IF(O6=0,0,OPEX!$D$23*(1+Assumptions!$B$19)^(O4-1))</f>
        <v>34690.982680249064</v>
      </c>
      <c r="P14" s="44">
        <f>IF(P6=0,0,OPEX!$D$23*(1+Assumptions!$B$19)^(P4-1))</f>
        <v>35905.167074057783</v>
      </c>
      <c r="Q14" s="44">
        <f>IF(Q6=0,0,OPEX!$D$23*(1+Assumptions!$B$19)^(Q4-1))</f>
        <v>37161.847921649802</v>
      </c>
      <c r="R14" s="44">
        <f>IF(R6=0,0,OPEX!$D$23*(1+Assumptions!$B$19)^(R4-1))</f>
        <v>38462.512598907539</v>
      </c>
      <c r="S14" s="44">
        <f>IF(S6=0,0,OPEX!$D$23*(1+Assumptions!$B$19)^(S4-1))</f>
        <v>39808.7005398693</v>
      </c>
      <c r="T14" s="44">
        <f>IF(T6=0,0,OPEX!$D$23*(1+Assumptions!$B$19)^(T4-1))</f>
        <v>41202.00505876472</v>
      </c>
      <c r="U14" s="44">
        <f>IF(U6=0,0,OPEX!$D$23*(1+Assumptions!$B$19)^(U4-1))</f>
        <v>42644.075235821481</v>
      </c>
      <c r="V14" s="44">
        <f>IF(V6=0,0,OPEX!$D$23*(1+Assumptions!$B$19)^(V4-1))</f>
        <v>44136.617869075228</v>
      </c>
      <c r="W14" s="44">
        <f>IF(W6=0,0,OPEX!$D$23*(1+Assumptions!$B$19)^(W4-1))</f>
        <v>45681.399494492856</v>
      </c>
      <c r="X14" s="44">
        <f>IF(X6=0,0,OPEX!$D$23*(1+Assumptions!$B$19)^(X4-1))</f>
        <v>47280.248476800109</v>
      </c>
    </row>
    <row r="15" spans="1:24" x14ac:dyDescent="0.25">
      <c r="A15" s="46" t="s">
        <v>435</v>
      </c>
      <c r="B15" s="44">
        <f>IF(B6=0,0,OPEX!$D$29*B8/Assumptions!$B$6*(1+Assumptions!$B$15)^(B4-1))</f>
        <v>0</v>
      </c>
      <c r="C15" s="44">
        <f>IF(C6=0,0,OPEX!$D$29*C8/Assumptions!$B$6*(1+Assumptions!$B$15)^(C4-1))</f>
        <v>0</v>
      </c>
      <c r="D15" s="44">
        <f>IF(D6=0,0,OPEX!$D$29*D8/Assumptions!$B$6*(1+Assumptions!$B$15)^(D4-1))</f>
        <v>0</v>
      </c>
      <c r="E15" s="44">
        <f>IF(E6=0,0,OPEX!$D$29*E8/Assumptions!$B$6*(1+Assumptions!$B$15)^(E4-1))</f>
        <v>10905.704082961063</v>
      </c>
      <c r="F15" s="44">
        <f>IF(F6=0,0,OPEX!$D$29*F8/Assumptions!$B$6*(1+Assumptions!$B$15)^(F4-1))</f>
        <v>13086.844899553276</v>
      </c>
      <c r="G15" s="44">
        <f>IF(G6=0,0,OPEX!$D$29*G8/Assumptions!$B$6*(1+Assumptions!$B$15)^(G4-1))</f>
        <v>14600.011341064126</v>
      </c>
      <c r="H15" s="44">
        <f>IF(H6=0,0,OPEX!$D$29*H8/Assumptions!$B$6*(1+Assumptions!$B$15)^(H4-1))</f>
        <v>15330.011908117331</v>
      </c>
      <c r="I15" s="44">
        <f>IF(I6=0,0,OPEX!$D$29*I8/Assumptions!$B$6*(1+Assumptions!$B$15)^(I4-1))</f>
        <v>16096.512503523201</v>
      </c>
      <c r="J15" s="44">
        <f>IF(J6=0,0,OPEX!$D$29*J8/Assumptions!$B$6*(1+Assumptions!$B$15)^(J4-1))</f>
        <v>16901.338128699357</v>
      </c>
      <c r="K15" s="44">
        <f>IF(K6=0,0,OPEX!$D$29*K8/Assumptions!$B$6*(1+Assumptions!$B$15)^(K4-1))</f>
        <v>17746.405035134329</v>
      </c>
      <c r="L15" s="44">
        <f>IF(L6=0,0,OPEX!$D$29*L8/Assumptions!$B$6*(1+Assumptions!$B$15)^(L4-1))</f>
        <v>18633.725286891044</v>
      </c>
      <c r="M15" s="44">
        <f>IF(M6=0,0,OPEX!$D$29*M8/Assumptions!$B$6*(1+Assumptions!$B$15)^(M4-1))</f>
        <v>19565.411551235597</v>
      </c>
      <c r="N15" s="44">
        <f>IF(N6=0,0,OPEX!$D$29*N8/Assumptions!$B$6*(1+Assumptions!$B$15)^(N4-1))</f>
        <v>20543.682128797373</v>
      </c>
      <c r="O15" s="44">
        <f>IF(O6=0,0,OPEX!$D$29*O8/Assumptions!$B$6*(1+Assumptions!$B$15)^(O4-1))</f>
        <v>21570.866235237248</v>
      </c>
      <c r="P15" s="44">
        <f>IF(P6=0,0,OPEX!$D$29*P8/Assumptions!$B$6*(1+Assumptions!$B$15)^(P4-1))</f>
        <v>22649.409546999104</v>
      </c>
      <c r="Q15" s="44">
        <f>IF(Q6=0,0,OPEX!$D$29*Q8/Assumptions!$B$6*(1+Assumptions!$B$15)^(Q4-1))</f>
        <v>23781.880024349066</v>
      </c>
      <c r="R15" s="44">
        <f>IF(R6=0,0,OPEX!$D$29*R8/Assumptions!$B$6*(1+Assumptions!$B$15)^(R4-1))</f>
        <v>24970.974025566517</v>
      </c>
      <c r="S15" s="44">
        <f>IF(S6=0,0,OPEX!$D$29*S8/Assumptions!$B$6*(1+Assumptions!$B$15)^(S4-1))</f>
        <v>26219.522726844847</v>
      </c>
      <c r="T15" s="44">
        <f>IF(T6=0,0,OPEX!$D$29*T8/Assumptions!$B$6*(1+Assumptions!$B$15)^(T4-1))</f>
        <v>27530.498863187087</v>
      </c>
      <c r="U15" s="44">
        <f>IF(U6=0,0,OPEX!$D$29*U8/Assumptions!$B$6*(1+Assumptions!$B$15)^(U4-1))</f>
        <v>28907.023806346442</v>
      </c>
      <c r="V15" s="44">
        <f>IF(V6=0,0,OPEX!$D$29*V8/Assumptions!$B$6*(1+Assumptions!$B$15)^(V4-1))</f>
        <v>30352.374996663766</v>
      </c>
      <c r="W15" s="44">
        <f>IF(W6=0,0,OPEX!$D$29*W8/Assumptions!$B$6*(1+Assumptions!$B$15)^(W4-1))</f>
        <v>31869.993746496952</v>
      </c>
      <c r="X15" s="44">
        <f>IF(X6=0,0,OPEX!$D$29*X8/Assumptions!$B$6*(1+Assumptions!$B$15)^(X4-1))</f>
        <v>33463.493433821801</v>
      </c>
    </row>
    <row r="16" spans="1:24" x14ac:dyDescent="0.25">
      <c r="A16" s="46" t="s">
        <v>436</v>
      </c>
      <c r="B16" s="44">
        <f t="shared" ref="B16:X16" si="1">B11+B12+B13+B14-B15</f>
        <v>0</v>
      </c>
      <c r="C16" s="44">
        <f t="shared" si="1"/>
        <v>0</v>
      </c>
      <c r="D16" s="44">
        <f t="shared" si="1"/>
        <v>0</v>
      </c>
      <c r="E16" s="44">
        <f t="shared" si="1"/>
        <v>495228.01624018711</v>
      </c>
      <c r="F16" s="44">
        <f t="shared" si="1"/>
        <v>511384.80296070554</v>
      </c>
      <c r="G16" s="44">
        <f t="shared" si="1"/>
        <v>527310.93842517538</v>
      </c>
      <c r="H16" s="44">
        <f t="shared" si="1"/>
        <v>542999.70203926042</v>
      </c>
      <c r="I16" s="44">
        <f t="shared" si="1"/>
        <v>559150.17879951221</v>
      </c>
      <c r="J16" s="44">
        <f t="shared" si="1"/>
        <v>575775.68785846664</v>
      </c>
      <c r="K16" s="44">
        <f t="shared" si="1"/>
        <v>592889.91836476244</v>
      </c>
      <c r="L16" s="44">
        <f t="shared" si="1"/>
        <v>610506.93898027763</v>
      </c>
      <c r="M16" s="44">
        <f t="shared" si="1"/>
        <v>628641.20760000765</v>
      </c>
      <c r="N16" s="44">
        <f t="shared" si="1"/>
        <v>647307.58127650479</v>
      </c>
      <c r="O16" s="44">
        <f t="shared" si="1"/>
        <v>666521.32635052898</v>
      </c>
      <c r="P16" s="44">
        <f t="shared" si="1"/>
        <v>686298.12878938578</v>
      </c>
      <c r="Q16" s="44">
        <f t="shared" si="1"/>
        <v>706654.10473422962</v>
      </c>
      <c r="R16" s="44">
        <f t="shared" si="1"/>
        <v>727605.81125739531</v>
      </c>
      <c r="S16" s="44">
        <f t="shared" si="1"/>
        <v>749170.25733058841</v>
      </c>
      <c r="T16" s="44">
        <f t="shared" si="1"/>
        <v>771364.91500451148</v>
      </c>
      <c r="U16" s="44">
        <f t="shared" si="1"/>
        <v>794207.73080022389</v>
      </c>
      <c r="V16" s="44">
        <f t="shared" si="1"/>
        <v>817717.13731224427</v>
      </c>
      <c r="W16" s="44">
        <f t="shared" si="1"/>
        <v>841912.06502306368</v>
      </c>
      <c r="X16" s="44">
        <f t="shared" si="1"/>
        <v>866811.95432840963</v>
      </c>
    </row>
    <row r="17" spans="1:24" x14ac:dyDescent="0.25">
      <c r="A17" s="46" t="s">
        <v>437</v>
      </c>
      <c r="B17" s="45">
        <f>IF(B6=0,0,OPEX!$B$30*B8/Assumptions!$B$6)</f>
        <v>0</v>
      </c>
      <c r="C17" s="45">
        <f>IF(C6=0,0,OPEX!$B$30*C8/Assumptions!$B$6)</f>
        <v>0</v>
      </c>
      <c r="D17" s="45">
        <f>IF(D6=0,0,OPEX!$B$30*D8/Assumptions!$B$6)</f>
        <v>0</v>
      </c>
      <c r="E17" s="45">
        <f>IF(E6=0,0,OPEX!$B$30*E8/Assumptions!$B$6)</f>
        <v>27318.641313599997</v>
      </c>
      <c r="F17" s="45">
        <f>IF(F6=0,0,OPEX!$B$30*F8/Assumptions!$B$6)</f>
        <v>31221.304358400004</v>
      </c>
      <c r="G17" s="45">
        <f>IF(G6=0,0,OPEX!$B$30*G8/Assumptions!$B$6)</f>
        <v>33172.6358808</v>
      </c>
      <c r="H17" s="45">
        <f>IF(H6=0,0,OPEX!$B$30*H8/Assumptions!$B$6)</f>
        <v>33172.6358808</v>
      </c>
      <c r="I17" s="45">
        <f>IF(I6=0,0,OPEX!$B$30*I8/Assumptions!$B$6)</f>
        <v>33172.6358808</v>
      </c>
      <c r="J17" s="45">
        <f>IF(J6=0,0,OPEX!$B$30*J8/Assumptions!$B$6)</f>
        <v>33172.6358808</v>
      </c>
      <c r="K17" s="45">
        <f>IF(K6=0,0,OPEX!$B$30*K8/Assumptions!$B$6)</f>
        <v>33172.6358808</v>
      </c>
      <c r="L17" s="45">
        <f>IF(L6=0,0,OPEX!$B$30*L8/Assumptions!$B$6)</f>
        <v>33172.6358808</v>
      </c>
      <c r="M17" s="45">
        <f>IF(M6=0,0,OPEX!$B$30*M8/Assumptions!$B$6)</f>
        <v>33172.6358808</v>
      </c>
      <c r="N17" s="45">
        <f>IF(N6=0,0,OPEX!$B$30*N8/Assumptions!$B$6)</f>
        <v>33172.6358808</v>
      </c>
      <c r="O17" s="45">
        <f>IF(O6=0,0,OPEX!$B$30*O8/Assumptions!$B$6)</f>
        <v>33172.6358808</v>
      </c>
      <c r="P17" s="45">
        <f>IF(P6=0,0,OPEX!$B$30*P8/Assumptions!$B$6)</f>
        <v>33172.6358808</v>
      </c>
      <c r="Q17" s="45">
        <f>IF(Q6=0,0,OPEX!$B$30*Q8/Assumptions!$B$6)</f>
        <v>33172.6358808</v>
      </c>
      <c r="R17" s="45">
        <f>IF(R6=0,0,OPEX!$B$30*R8/Assumptions!$B$6)</f>
        <v>33172.6358808</v>
      </c>
      <c r="S17" s="45">
        <f>IF(S6=0,0,OPEX!$B$30*S8/Assumptions!$B$6)</f>
        <v>33172.6358808</v>
      </c>
      <c r="T17" s="45">
        <f>IF(T6=0,0,OPEX!$B$30*T8/Assumptions!$B$6)</f>
        <v>33172.6358808</v>
      </c>
      <c r="U17" s="45">
        <f>IF(U6=0,0,OPEX!$B$30*U8/Assumptions!$B$6)</f>
        <v>33172.6358808</v>
      </c>
      <c r="V17" s="45">
        <f>IF(V6=0,0,OPEX!$B$30*V8/Assumptions!$B$6)</f>
        <v>33172.6358808</v>
      </c>
      <c r="W17" s="45">
        <f>IF(W6=0,0,OPEX!$B$30*W8/Assumptions!$B$6)</f>
        <v>33172.6358808</v>
      </c>
      <c r="X17" s="45">
        <f>IF(X6=0,0,OPEX!$B$30*X8/Assumptions!$B$6)</f>
        <v>33172.6358808</v>
      </c>
    </row>
    <row r="18" spans="1:24" x14ac:dyDescent="0.25">
      <c r="A18" s="46" t="s">
        <v>438</v>
      </c>
      <c r="B18" s="45">
        <f>B17*(1+Assumptions!$B$15)^MAX(0,B6-1)</f>
        <v>0</v>
      </c>
      <c r="C18" s="45">
        <f>C17*(1+Assumptions!$B$15)^MAX(0,C6-1)</f>
        <v>0</v>
      </c>
      <c r="D18" s="45">
        <f>D17*(1+Assumptions!$B$15)^MAX(0,D6-1)</f>
        <v>0</v>
      </c>
      <c r="E18" s="45">
        <f>E17*(1+Assumptions!$B$15)^MAX(0,E6-1)</f>
        <v>27318.641313599997</v>
      </c>
      <c r="F18" s="45">
        <f>F17*(1+Assumptions!$B$15)^MAX(0,F6-1)</f>
        <v>32782.369576320008</v>
      </c>
      <c r="G18" s="45">
        <f>G17*(1+Assumptions!$B$15)^MAX(0,G6-1)</f>
        <v>36572.831058582</v>
      </c>
      <c r="H18" s="45">
        <f>H17*(1+Assumptions!$B$15)^MAX(0,H6-1)</f>
        <v>38401.472611511104</v>
      </c>
      <c r="I18" s="45">
        <f>I17*(1+Assumptions!$B$15)^MAX(0,I6-1)</f>
        <v>40321.546242086653</v>
      </c>
      <c r="J18" s="45">
        <f>J17*(1+Assumptions!$B$15)^MAX(0,J6-1)</f>
        <v>42337.623554190992</v>
      </c>
      <c r="K18" s="45">
        <f>K17*(1+Assumptions!$B$15)^MAX(0,K6-1)</f>
        <v>44454.504731900539</v>
      </c>
      <c r="L18" s="45">
        <f>L17*(1+Assumptions!$B$15)^MAX(0,L6-1)</f>
        <v>46677.229968495572</v>
      </c>
      <c r="M18" s="45">
        <f>M17*(1+Assumptions!$B$15)^MAX(0,M6-1)</f>
        <v>49011.091466920348</v>
      </c>
      <c r="N18" s="45">
        <f>N17*(1+Assumptions!$B$15)^MAX(0,N6-1)</f>
        <v>51461.646040266365</v>
      </c>
      <c r="O18" s="45">
        <f>O17*(1+Assumptions!$B$15)^MAX(0,O6-1)</f>
        <v>54034.728342279683</v>
      </c>
      <c r="P18" s="45">
        <f>P17*(1+Assumptions!$B$15)^MAX(0,P6-1)</f>
        <v>56736.464759393675</v>
      </c>
      <c r="Q18" s="45">
        <f>Q17*(1+Assumptions!$B$15)^MAX(0,Q6-1)</f>
        <v>59573.287997363346</v>
      </c>
      <c r="R18" s="45">
        <f>R17*(1+Assumptions!$B$15)^MAX(0,R6-1)</f>
        <v>62551.952397231522</v>
      </c>
      <c r="S18" s="45">
        <f>S17*(1+Assumptions!$B$15)^MAX(0,S6-1)</f>
        <v>65679.55001709309</v>
      </c>
      <c r="T18" s="45">
        <f>T17*(1+Assumptions!$B$15)^MAX(0,T6-1)</f>
        <v>68963.527517947761</v>
      </c>
      <c r="U18" s="45">
        <f>U17*(1+Assumptions!$B$15)^MAX(0,U6-1)</f>
        <v>72411.703893845144</v>
      </c>
      <c r="V18" s="45">
        <f>V17*(1+Assumptions!$B$15)^MAX(0,V6-1)</f>
        <v>76032.289088537407</v>
      </c>
      <c r="W18" s="45">
        <f>W17*(1+Assumptions!$B$15)^MAX(0,W6-1)</f>
        <v>79833.903542964283</v>
      </c>
      <c r="X18" s="45">
        <f>X17*(1+Assumptions!$B$15)^MAX(0,X6-1)</f>
        <v>83825.598720112495</v>
      </c>
    </row>
    <row r="19" spans="1:24" x14ac:dyDescent="0.25">
      <c r="A19" s="46" t="s">
        <v>439</v>
      </c>
      <c r="B19" s="44">
        <f t="shared" ref="B19:X19" si="2">B16*B9</f>
        <v>0</v>
      </c>
      <c r="C19" s="44">
        <f t="shared" si="2"/>
        <v>0</v>
      </c>
      <c r="D19" s="44">
        <f t="shared" si="2"/>
        <v>0</v>
      </c>
      <c r="E19" s="44">
        <f t="shared" si="2"/>
        <v>338247.39856579946</v>
      </c>
      <c r="F19" s="44">
        <f t="shared" si="2"/>
        <v>317529.72844670655</v>
      </c>
      <c r="G19" s="44">
        <f t="shared" si="2"/>
        <v>297653.27777320408</v>
      </c>
      <c r="H19" s="44">
        <f t="shared" si="2"/>
        <v>278644.70529830118</v>
      </c>
      <c r="I19" s="44">
        <f t="shared" si="2"/>
        <v>260847.6850555643</v>
      </c>
      <c r="J19" s="44">
        <f t="shared" si="2"/>
        <v>244185.09793755485</v>
      </c>
      <c r="K19" s="44">
        <f t="shared" si="2"/>
        <v>228584.72939595691</v>
      </c>
      <c r="L19" s="44">
        <f t="shared" si="2"/>
        <v>213978.95770364586</v>
      </c>
      <c r="M19" s="44">
        <f t="shared" si="2"/>
        <v>200304.46202401645</v>
      </c>
      <c r="N19" s="44">
        <f t="shared" si="2"/>
        <v>187501.94902931439</v>
      </c>
      <c r="O19" s="44">
        <f t="shared" si="2"/>
        <v>175515.8968896367</v>
      </c>
      <c r="P19" s="44">
        <f t="shared" si="2"/>
        <v>164294.31552911308</v>
      </c>
      <c r="Q19" s="44">
        <f t="shared" si="2"/>
        <v>153788.52211587151</v>
      </c>
      <c r="R19" s="44">
        <f t="shared" si="2"/>
        <v>143952.93081803352</v>
      </c>
      <c r="S19" s="44">
        <f t="shared" si="2"/>
        <v>134744.85591945381</v>
      </c>
      <c r="T19" s="44">
        <f t="shared" si="2"/>
        <v>126124.3274464862</v>
      </c>
      <c r="U19" s="44">
        <f t="shared" si="2"/>
        <v>118053.91851096757</v>
      </c>
      <c r="V19" s="44">
        <f t="shared" si="2"/>
        <v>110498.58362509882</v>
      </c>
      <c r="W19" s="44">
        <f t="shared" si="2"/>
        <v>103425.50729117914</v>
      </c>
      <c r="X19" s="44">
        <f t="shared" si="2"/>
        <v>96803.962213428196</v>
      </c>
    </row>
    <row r="20" spans="1:24" x14ac:dyDescent="0.25">
      <c r="A20" s="46" t="s">
        <v>440</v>
      </c>
      <c r="B20" s="44">
        <f t="shared" ref="B20:X20" si="3">B10*B9</f>
        <v>573270.81532198621</v>
      </c>
      <c r="C20" s="44">
        <f t="shared" si="3"/>
        <v>957622.8392310451</v>
      </c>
      <c r="D20" s="44">
        <f t="shared" si="3"/>
        <v>1175264.393601737</v>
      </c>
      <c r="E20" s="44">
        <f t="shared" si="3"/>
        <v>0</v>
      </c>
      <c r="F20" s="44">
        <f t="shared" si="3"/>
        <v>0</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row>
    <row r="21" spans="1:24" x14ac:dyDescent="0.25">
      <c r="A21" s="46" t="s">
        <v>441</v>
      </c>
      <c r="B21" s="45">
        <f t="shared" ref="B21:X21" si="4">B18*B9</f>
        <v>0</v>
      </c>
      <c r="C21" s="45">
        <f t="shared" si="4"/>
        <v>0</v>
      </c>
      <c r="D21" s="45">
        <f t="shared" si="4"/>
        <v>0</v>
      </c>
      <c r="E21" s="45">
        <f t="shared" si="4"/>
        <v>18658.999599480903</v>
      </c>
      <c r="F21" s="45">
        <f t="shared" si="4"/>
        <v>20355.272290342808</v>
      </c>
      <c r="G21" s="45">
        <f t="shared" si="4"/>
        <v>20644.409680830628</v>
      </c>
      <c r="H21" s="45">
        <f t="shared" si="4"/>
        <v>19706.027422611052</v>
      </c>
      <c r="I21" s="45">
        <f t="shared" si="4"/>
        <v>18810.298903401454</v>
      </c>
      <c r="J21" s="45">
        <f t="shared" si="4"/>
        <v>17955.285316883208</v>
      </c>
      <c r="K21" s="45">
        <f t="shared" si="4"/>
        <v>17139.135984297605</v>
      </c>
      <c r="L21" s="45">
        <f t="shared" si="4"/>
        <v>16360.084348647715</v>
      </c>
      <c r="M21" s="45">
        <f t="shared" si="4"/>
        <v>15616.44415098191</v>
      </c>
      <c r="N21" s="45">
        <f t="shared" si="4"/>
        <v>14906.605780482732</v>
      </c>
      <c r="O21" s="45">
        <f t="shared" si="4"/>
        <v>14229.032790460786</v>
      </c>
      <c r="P21" s="45">
        <f t="shared" si="4"/>
        <v>13582.25857271257</v>
      </c>
      <c r="Q21" s="45">
        <f t="shared" si="4"/>
        <v>12964.883183043814</v>
      </c>
      <c r="R21" s="45">
        <f t="shared" si="4"/>
        <v>12375.570311087278</v>
      </c>
      <c r="S21" s="45">
        <f t="shared" si="4"/>
        <v>11813.044387856035</v>
      </c>
      <c r="T21" s="45">
        <f t="shared" si="4"/>
        <v>11276.08782477167</v>
      </c>
      <c r="U21" s="45">
        <f t="shared" si="4"/>
        <v>10763.538378191141</v>
      </c>
      <c r="V21" s="45">
        <f t="shared" si="4"/>
        <v>10274.286633727907</v>
      </c>
      <c r="W21" s="45">
        <f t="shared" si="4"/>
        <v>9807.2736049220912</v>
      </c>
      <c r="X21" s="45">
        <f t="shared" si="4"/>
        <v>9361.4884410619961</v>
      </c>
    </row>
    <row r="23" spans="1:24" x14ac:dyDescent="0.25">
      <c r="A23" s="7" t="s">
        <v>442</v>
      </c>
      <c r="B23" s="44">
        <f>SUM(B20:X20)</f>
        <v>2706158.0481547685</v>
      </c>
    </row>
    <row r="24" spans="1:24" x14ac:dyDescent="0.25">
      <c r="A24" s="7" t="s">
        <v>443</v>
      </c>
      <c r="B24" s="44">
        <f>SUM(B19:X19)</f>
        <v>3894680.8115893323</v>
      </c>
    </row>
    <row r="25" spans="1:24" x14ac:dyDescent="0.25">
      <c r="A25" s="7" t="s">
        <v>444</v>
      </c>
      <c r="B25" s="45">
        <f>SUM(B21:X21)</f>
        <v>296600.0276057953</v>
      </c>
    </row>
    <row r="26" spans="1:24" x14ac:dyDescent="0.25">
      <c r="A26" s="11" t="s">
        <v>445</v>
      </c>
      <c r="B26" s="52">
        <f>(B23+B24)/B25</f>
        <v>22.255017685019009</v>
      </c>
    </row>
    <row r="27" spans="1:24" x14ac:dyDescent="0.25">
      <c r="A27" s="7" t="s">
        <v>446</v>
      </c>
      <c r="B27" s="18">
        <f>B23/(B23+B24)</f>
        <v>0.40997183928523895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8"/>
  <sheetViews>
    <sheetView showGridLines="0" zoomScaleNormal="100" workbookViewId="0"/>
  </sheetViews>
  <sheetFormatPr defaultRowHeight="15" x14ac:dyDescent="0.25"/>
  <cols>
    <col min="1" max="1" width="56" customWidth="1"/>
    <col min="2" max="2" width="16" customWidth="1"/>
    <col min="3" max="3" width="14" customWidth="1"/>
    <col min="4" max="4" width="70" customWidth="1"/>
  </cols>
  <sheetData>
    <row r="1" spans="1:4" ht="15.75" x14ac:dyDescent="0.25">
      <c r="A1" s="21" t="s">
        <v>447</v>
      </c>
    </row>
    <row r="2" spans="1:4" x14ac:dyDescent="0.25">
      <c r="A2" s="5" t="s">
        <v>448</v>
      </c>
    </row>
    <row r="4" spans="1:4" x14ac:dyDescent="0.25">
      <c r="A4" s="6" t="s">
        <v>109</v>
      </c>
      <c r="B4" s="6" t="s">
        <v>42</v>
      </c>
      <c r="C4" s="6" t="s">
        <v>43</v>
      </c>
      <c r="D4" s="6" t="s">
        <v>376</v>
      </c>
    </row>
    <row r="5" spans="1:4" x14ac:dyDescent="0.25">
      <c r="A5" s="11" t="s">
        <v>449</v>
      </c>
    </row>
    <row r="6" spans="1:4" x14ac:dyDescent="0.25">
      <c r="A6" s="7" t="s">
        <v>420</v>
      </c>
      <c r="B6" s="53">
        <f>OPEX!$B$30</f>
        <v>33172.6358808</v>
      </c>
      <c r="C6" s="7" t="s">
        <v>397</v>
      </c>
      <c r="D6" s="9" t="s">
        <v>450</v>
      </c>
    </row>
    <row r="7" spans="1:4" x14ac:dyDescent="0.25">
      <c r="A7" s="7" t="s">
        <v>451</v>
      </c>
      <c r="B7" s="45">
        <f>B6*Assumptions!$B$51/1000</f>
        <v>3980.7163056959998</v>
      </c>
      <c r="C7" s="7" t="s">
        <v>383</v>
      </c>
      <c r="D7" s="9" t="s">
        <v>452</v>
      </c>
    </row>
    <row r="8" spans="1:4" x14ac:dyDescent="0.25">
      <c r="A8" s="7" t="s">
        <v>453</v>
      </c>
      <c r="B8" s="53">
        <f>OPEX!$B$6</f>
        <v>93599.514110400021</v>
      </c>
      <c r="C8" s="7" t="s">
        <v>380</v>
      </c>
      <c r="D8" s="9" t="s">
        <v>450</v>
      </c>
    </row>
    <row r="9" spans="1:4" x14ac:dyDescent="0.25">
      <c r="A9" s="7" t="s">
        <v>454</v>
      </c>
      <c r="B9" s="45">
        <f>B8*0.0036*Assumptions!$B$71</f>
        <v>842.39562699360022</v>
      </c>
      <c r="C9" s="7" t="s">
        <v>383</v>
      </c>
      <c r="D9" s="9" t="s">
        <v>455</v>
      </c>
    </row>
    <row r="10" spans="1:4" x14ac:dyDescent="0.25">
      <c r="A10" s="7" t="s">
        <v>456</v>
      </c>
      <c r="B10" s="53">
        <f>OPEX!$B$7+OPEX!$B$8</f>
        <v>2754.2493395474994</v>
      </c>
      <c r="C10" s="7" t="s">
        <v>383</v>
      </c>
      <c r="D10" s="9" t="s">
        <v>450</v>
      </c>
    </row>
    <row r="11" spans="1:4" x14ac:dyDescent="0.25">
      <c r="A11" s="11" t="s">
        <v>457</v>
      </c>
      <c r="B11" s="54">
        <f>B9+B10</f>
        <v>3596.6449665410996</v>
      </c>
      <c r="C11" s="7" t="s">
        <v>383</v>
      </c>
      <c r="D11" s="9"/>
    </row>
    <row r="12" spans="1:4" x14ac:dyDescent="0.25">
      <c r="A12" s="11" t="s">
        <v>68</v>
      </c>
      <c r="B12" s="55">
        <f>B7/B11</f>
        <v>1.1067860027130403</v>
      </c>
      <c r="C12" s="7" t="s">
        <v>64</v>
      </c>
      <c r="D12" s="9" t="s">
        <v>458</v>
      </c>
    </row>
    <row r="14" spans="1:4" x14ac:dyDescent="0.25">
      <c r="A14" s="11" t="s">
        <v>459</v>
      </c>
    </row>
    <row r="15" spans="1:4" x14ac:dyDescent="0.25">
      <c r="A15" s="7" t="s">
        <v>460</v>
      </c>
      <c r="B15" s="45">
        <f>B8*Assumptions!$B$70</f>
        <v>34940.69861741233</v>
      </c>
      <c r="C15" s="7" t="s">
        <v>461</v>
      </c>
      <c r="D15" s="9" t="s">
        <v>462</v>
      </c>
    </row>
    <row r="16" spans="1:4" x14ac:dyDescent="0.25">
      <c r="A16" s="7" t="s">
        <v>463</v>
      </c>
      <c r="B16" s="45">
        <f>B10*(Assumptions!$B$72+Assumptions!$B$73)</f>
        <v>182055.88134408969</v>
      </c>
      <c r="C16" s="7" t="s">
        <v>461</v>
      </c>
      <c r="D16" s="9" t="s">
        <v>464</v>
      </c>
    </row>
    <row r="17" spans="1:4" x14ac:dyDescent="0.25">
      <c r="A17" s="7" t="s">
        <v>465</v>
      </c>
      <c r="B17" s="45">
        <f>OPEX!$B$27*1000*44/12</f>
        <v>419448.00027019996</v>
      </c>
      <c r="C17" s="7" t="s">
        <v>466</v>
      </c>
      <c r="D17" s="9" t="s">
        <v>467</v>
      </c>
    </row>
    <row r="18" spans="1:4" x14ac:dyDescent="0.25">
      <c r="A18" s="7" t="s">
        <v>468</v>
      </c>
      <c r="B18" s="45">
        <f>-B17*Assumptions!$B$74</f>
        <v>0</v>
      </c>
      <c r="C18" s="7" t="s">
        <v>461</v>
      </c>
      <c r="D18" s="9" t="s">
        <v>469</v>
      </c>
    </row>
    <row r="19" spans="1:4" x14ac:dyDescent="0.25">
      <c r="A19" s="11" t="s">
        <v>470</v>
      </c>
      <c r="B19" s="54">
        <f>B15+B16+B18</f>
        <v>216996.57996150202</v>
      </c>
      <c r="C19" s="7" t="s">
        <v>461</v>
      </c>
      <c r="D19" s="9"/>
    </row>
    <row r="20" spans="1:4" x14ac:dyDescent="0.25">
      <c r="A20" s="11" t="s">
        <v>471</v>
      </c>
      <c r="B20" s="56">
        <f>B19/B6</f>
        <v>6.5414331481297072</v>
      </c>
      <c r="C20" s="7" t="s">
        <v>71</v>
      </c>
      <c r="D20" s="9"/>
    </row>
    <row r="21" spans="1:4" x14ac:dyDescent="0.25">
      <c r="A21" s="7" t="s">
        <v>472</v>
      </c>
      <c r="B21" s="57">
        <f>(B15+B16)/B6</f>
        <v>6.5414331481297072</v>
      </c>
      <c r="C21" s="7" t="s">
        <v>71</v>
      </c>
      <c r="D21" s="9"/>
    </row>
    <row r="22" spans="1:4" x14ac:dyDescent="0.25">
      <c r="A22" s="7" t="s">
        <v>473</v>
      </c>
      <c r="B22" s="57">
        <f>(B15+B16-B17)/B6</f>
        <v>-6.1029645348705879</v>
      </c>
      <c r="C22" s="7" t="s">
        <v>71</v>
      </c>
      <c r="D22" s="9" t="s">
        <v>474</v>
      </c>
    </row>
    <row r="24" spans="1:4" x14ac:dyDescent="0.25">
      <c r="A24" s="11" t="s">
        <v>475</v>
      </c>
    </row>
    <row r="25" spans="1:4" x14ac:dyDescent="0.25">
      <c r="A25" s="7" t="s">
        <v>476</v>
      </c>
      <c r="B25" s="45">
        <f>Process_Data!$B$15*Process_Data!$B$16*44.01*OPEX!$B$4/1000</f>
        <v>175.24002846959999</v>
      </c>
      <c r="C25" s="7" t="s">
        <v>46</v>
      </c>
      <c r="D25" s="9" t="s">
        <v>477</v>
      </c>
    </row>
    <row r="26" spans="1:4" x14ac:dyDescent="0.25">
      <c r="A26" s="7" t="s">
        <v>478</v>
      </c>
      <c r="B26" s="45">
        <f>Process_Data!$B$15*Process_Data!$B$17*16.043*OPEX!$B$4/1000</f>
        <v>4.8499208268</v>
      </c>
      <c r="C26" s="7" t="s">
        <v>46</v>
      </c>
      <c r="D26" s="9" t="s">
        <v>479</v>
      </c>
    </row>
    <row r="27" spans="1:4" ht="29.25" x14ac:dyDescent="0.25">
      <c r="A27" s="7" t="s">
        <v>480</v>
      </c>
      <c r="B27" s="57">
        <f>(B15+B16+B26*1000*Assumptions!$B$75)/B6</f>
        <v>10.488899451203663</v>
      </c>
      <c r="C27" s="7" t="s">
        <v>71</v>
      </c>
      <c r="D27" s="9" t="s">
        <v>481</v>
      </c>
    </row>
    <row r="28" spans="1:4" x14ac:dyDescent="0.25">
      <c r="A28" s="7" t="s">
        <v>482</v>
      </c>
      <c r="B28" s="45">
        <f>Process_Data!$B$22*28.01*OPEX!$B$4/1000</f>
        <v>73.43484216600001</v>
      </c>
      <c r="C28" s="7" t="s">
        <v>46</v>
      </c>
      <c r="D28" s="9" t="s">
        <v>483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Summary</vt:lpstr>
      <vt:lpstr>Process_Data</vt:lpstr>
      <vt:lpstr>Assumptions</vt:lpstr>
      <vt:lpstr>CAPEX</vt:lpstr>
      <vt:lpstr>OPEX</vt:lpstr>
      <vt:lpstr>DCF</vt:lpstr>
      <vt:lpstr>LCA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2026-10-09T07:05:54Z</dcterms:created>
  <dcterms:modified xsi:type="dcterms:W3CDTF">2026-10-09T09:17:45Z</dcterms:modified>
</cp:coreProperties>
</file>