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Process_Data" sheetId="3" state="visible" r:id="rId3"/>
    <sheet name="Assumptions" sheetId="4" state="visible" r:id="rId4"/>
    <sheet name="CAPEX" sheetId="5" state="visible" r:id="rId5"/>
    <sheet name="OPEX" sheetId="6" state="visible" r:id="rId6"/>
    <sheet name="DCF" sheetId="7" state="visible" r:id="rId7"/>
    <sheet name="LCA" sheetId="8" state="visible" r:id="rId8"/>
  </sheets>
  <definedNames/>
  <calcPr calcId="124519" fullCalcOnLoad="1"/>
</workbook>
</file>

<file path=xl/styles.xml><?xml version="1.0" encoding="utf-8"?>
<styleSheet xmlns="http://schemas.openxmlformats.org/spreadsheetml/2006/main">
  <numFmts count="11">
    <numFmt numFmtId="164" formatCode="#,##0.000;(#,##0.000);-"/>
    <numFmt numFmtId="165" formatCode="0.0000"/>
    <numFmt numFmtId="166" formatCode="#,##0;(#,##0);-"/>
    <numFmt numFmtId="167" formatCode="0.0%;(0.0%);-"/>
    <numFmt numFmtId="168" formatCode="#,##0.00;(#,##0.00);-"/>
    <numFmt numFmtId="169" formatCode="$0.000"/>
    <numFmt numFmtId="170" formatCode="$#,##0.00;($#,##0.00);-"/>
    <numFmt numFmtId="171" formatCode="$0.00"/>
    <numFmt numFmtId="172" formatCode="$#,##0;($#,##0);-"/>
    <numFmt numFmtId="173" formatCode="0.0"/>
    <numFmt numFmtId="174" formatCode="0.000"/>
  </numFmts>
  <fonts count="13">
    <font>
      <name val="Calibri"/>
      <family val="2"/>
      <color theme="1"/>
      <sz val="11"/>
      <scheme val="minor"/>
    </font>
    <font>
      <name val="Arial"/>
      <b val="1"/>
      <sz val="14"/>
    </font>
    <font>
      <name val="Arial"/>
      <color rgb="00000000"/>
      <sz val="10"/>
    </font>
    <font>
      <name val="Arial"/>
      <b val="1"/>
      <sz val="10"/>
    </font>
    <font>
      <name val="Arial"/>
      <b val="1"/>
      <color rgb="00000000"/>
    </font>
    <font>
      <name val="Arial"/>
      <b val="1"/>
      <sz val="12"/>
    </font>
    <font>
      <name val="Arial"/>
      <b val="1"/>
      <color rgb="00FFFFFF"/>
    </font>
    <font>
      <name val="Arial"/>
      <color rgb="00000000"/>
    </font>
    <font>
      <name val="Arial"/>
      <color rgb="000000FF"/>
    </font>
    <font>
      <name val="Arial"/>
      <i val="1"/>
    </font>
    <font>
      <name val="Arial"/>
      <color rgb="00008000"/>
    </font>
    <font>
      <name val="Arial"/>
      <b val="1"/>
    </font>
    <font>
      <name val="Arial"/>
      <b val="1"/>
      <color rgb="00008000"/>
    </font>
  </fonts>
  <fills count="4">
    <fill>
      <patternFill/>
    </fill>
    <fill>
      <patternFill patternType="gray125"/>
    </fill>
    <fill>
      <patternFill patternType="solid">
        <fgColor rgb="001F4E78"/>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8">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1" fillId="0" borderId="1" pivotButton="0" quotePrefix="0" xfId="0"/>
    <xf numFmtId="0" fontId="9" fillId="0" borderId="1" pivotButton="0" quotePrefix="0" xfId="0"/>
    <xf numFmtId="0" fontId="6" fillId="2" borderId="1" applyAlignment="1" pivotButton="0" quotePrefix="0" xfId="0">
      <alignment vertical="center" wrapText="1"/>
    </xf>
    <xf numFmtId="0" fontId="7" fillId="0" borderId="1" pivotButton="0" quotePrefix="0" xfId="0"/>
    <xf numFmtId="168" fontId="10" fillId="0" borderId="1" pivotButton="0" quotePrefix="0" xfId="0"/>
    <xf numFmtId="0" fontId="7" fillId="0" borderId="1" applyAlignment="1" pivotButton="0" quotePrefix="0" xfId="0">
      <alignment wrapText="1"/>
    </xf>
    <xf numFmtId="172" fontId="10" fillId="0" borderId="1" pivotButton="0" quotePrefix="0" xfId="0"/>
    <xf numFmtId="0" fontId="4" fillId="0" borderId="1" pivotButton="0" quotePrefix="0" xfId="0"/>
    <xf numFmtId="172" fontId="12" fillId="0" borderId="1" pivotButton="0" quotePrefix="0" xfId="0"/>
    <xf numFmtId="170" fontId="12" fillId="3" borderId="1" pivotButton="0" quotePrefix="0" xfId="0"/>
    <xf numFmtId="165" fontId="10" fillId="0" borderId="1" pivotButton="0" quotePrefix="0" xfId="0"/>
    <xf numFmtId="170" fontId="10" fillId="0" borderId="1" pivotButton="0" quotePrefix="0" xfId="0"/>
    <xf numFmtId="2" fontId="12" fillId="0" borderId="1" pivotButton="0" quotePrefix="0" xfId="0"/>
    <xf numFmtId="168" fontId="12" fillId="0" borderId="1" pivotButton="0" quotePrefix="0" xfId="0"/>
    <xf numFmtId="167" fontId="7" fillId="0" borderId="1" pivotButton="0" quotePrefix="0" xfId="0"/>
    <xf numFmtId="172" fontId="4" fillId="0" borderId="1" pivotButton="0" quotePrefix="0" xfId="0"/>
    <xf numFmtId="170" fontId="7" fillId="0" borderId="1" pivotButton="0" quotePrefix="0" xfId="0"/>
    <xf numFmtId="0" fontId="5" fillId="0" borderId="1" pivotButton="0" quotePrefix="0" xfId="0"/>
    <xf numFmtId="164" fontId="8" fillId="0" borderId="1" pivotButton="0" quotePrefix="0" xfId="0"/>
    <xf numFmtId="165" fontId="8" fillId="0" borderId="1" pivotButton="0" quotePrefix="0" xfId="0"/>
    <xf numFmtId="164" fontId="7" fillId="0" borderId="1" pivotButton="0" quotePrefix="0" xfId="0"/>
    <xf numFmtId="165" fontId="8" fillId="3" borderId="1" pivotButton="0" quotePrefix="0" xfId="0"/>
    <xf numFmtId="164" fontId="7" fillId="3" borderId="1" pivotButton="0" quotePrefix="0" xfId="0"/>
    <xf numFmtId="166" fontId="8" fillId="0" borderId="1" pivotButton="0" quotePrefix="0" xfId="0"/>
    <xf numFmtId="2" fontId="8" fillId="0" borderId="1" pivotButton="0" quotePrefix="0" xfId="0"/>
    <xf numFmtId="167" fontId="8" fillId="0" borderId="1" pivotButton="0" quotePrefix="0" xfId="0"/>
    <xf numFmtId="168" fontId="8" fillId="0" borderId="1" pivotButton="0" quotePrefix="0" xfId="0"/>
    <xf numFmtId="169" fontId="8" fillId="0" borderId="1" pivotButton="0" quotePrefix="0" xfId="0"/>
    <xf numFmtId="170" fontId="8" fillId="0" borderId="1" pivotButton="0" quotePrefix="0" xfId="0"/>
    <xf numFmtId="171" fontId="7" fillId="0" borderId="1" pivotButton="0" quotePrefix="0" xfId="0"/>
    <xf numFmtId="2" fontId="8" fillId="3" borderId="1" pivotButton="0" quotePrefix="0" xfId="0"/>
    <xf numFmtId="170" fontId="8" fillId="3" borderId="1" pivotButton="0" quotePrefix="0" xfId="0"/>
    <xf numFmtId="168" fontId="8" fillId="3" borderId="1" pivotButton="0" quotePrefix="0" xfId="0"/>
    <xf numFmtId="166" fontId="8" fillId="3" borderId="1" pivotButton="0" quotePrefix="0" xfId="0"/>
    <xf numFmtId="172" fontId="8" fillId="0" borderId="1" pivotButton="0" quotePrefix="0" xfId="0"/>
    <xf numFmtId="173" fontId="8" fillId="0" borderId="1" pivotButton="0" quotePrefix="0" xfId="0"/>
    <xf numFmtId="174" fontId="8" fillId="0" borderId="1" pivotButton="0" quotePrefix="0" xfId="0"/>
    <xf numFmtId="167" fontId="8" fillId="3" borderId="1" pivotButton="0" quotePrefix="0" xfId="0"/>
    <xf numFmtId="0" fontId="10" fillId="0" borderId="1" applyAlignment="1" pivotButton="0" quotePrefix="0" xfId="0">
      <alignment wrapText="1"/>
    </xf>
    <xf numFmtId="172" fontId="8" fillId="3" borderId="1" pivotButton="0" quotePrefix="0" xfId="0"/>
    <xf numFmtId="172" fontId="7" fillId="0" borderId="1" pivotButton="0" quotePrefix="0" xfId="0"/>
    <xf numFmtId="166" fontId="7" fillId="0" borderId="1" pivotButton="0" quotePrefix="0" xfId="0"/>
    <xf numFmtId="0" fontId="11" fillId="0" borderId="1" pivotButton="0" quotePrefix="0" xfId="0"/>
    <xf numFmtId="1" fontId="7" fillId="0" borderId="1" pivotButton="0" quotePrefix="0" xfId="0"/>
    <xf numFmtId="49" fontId="7" fillId="0" borderId="1" pivotButton="0" quotePrefix="0" xfId="0"/>
    <xf numFmtId="167" fontId="10" fillId="0" borderId="1" pivotButton="0" quotePrefix="0" xfId="0"/>
    <xf numFmtId="2" fontId="7" fillId="0" borderId="1" pivotButton="0" quotePrefix="0" xfId="0"/>
    <xf numFmtId="165" fontId="7" fillId="0" borderId="1" pivotButton="0" quotePrefix="0" xfId="0"/>
    <xf numFmtId="170" fontId="4" fillId="3" borderId="1" pivotButton="0" quotePrefix="0" xfId="0"/>
    <xf numFmtId="166" fontId="10" fillId="0" borderId="1" pivotButton="0" quotePrefix="0" xfId="0"/>
    <xf numFmtId="166" fontId="4" fillId="0" borderId="1" pivotButton="0" quotePrefix="0" xfId="0"/>
    <xf numFmtId="2" fontId="4" fillId="0" borderId="1" pivotButton="0" quotePrefix="0" xfId="0"/>
    <xf numFmtId="168" fontId="4" fillId="0" borderId="1" pivotButton="0" quotePrefix="0" xfId="0"/>
    <xf numFmtId="168" fontId="7"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8"/>
  <sheetViews>
    <sheetView showGridLines="0" workbookViewId="0">
      <selection activeCell="A1" sqref="A1"/>
    </sheetView>
  </sheetViews>
  <sheetFormatPr baseColWidth="8" defaultRowHeight="15"/>
  <cols>
    <col width="110" customWidth="1" min="1" max="1"/>
  </cols>
  <sheetData>
    <row r="1">
      <c r="A1" s="1" t="inlineStr">
        <is>
          <t>Techno-economic and life-cycle (energy/GHG) assessment: Memb-Integration-1</t>
        </is>
      </c>
    </row>
    <row r="2">
      <c r="A2" s="2" t="inlineStr">
        <is>
          <t>Biogas (anaerobic digestion) -&gt; zeolite membrane upgrading -&gt; catalytic methane pyrolysis to hydrogen and solid carbon. All costs in USD.</t>
        </is>
      </c>
    </row>
    <row r="3">
      <c r="A3" s="2" t="inlineStr"/>
    </row>
    <row r="4">
      <c r="A4" s="3" t="inlineStr">
        <is>
          <t>PURPOSE</t>
        </is>
      </c>
    </row>
    <row r="5">
      <c r="A5" s="2" t="inlineStr">
        <is>
          <t>Screening-level TEA and gate-to-gate energy/GHG assessment of the current Aspen Plus model, using the method of the two reference papers in TEA/LCA-ref-docs.</t>
        </is>
      </c>
    </row>
    <row r="6">
      <c r="A6" s="2" t="inlineStr">
        <is>
          <t>Main outputs (sheet Summary): total project investment, annual operating cost, levelised cost of hydrogen (LCOH), net energy ratio (NER), GHG intensity.</t>
        </is>
      </c>
    </row>
    <row r="7">
      <c r="A7" s="2" t="inlineStr"/>
    </row>
    <row r="8">
      <c r="A8" s="3" t="inlineStr">
        <is>
          <t>HOW TO USE / COLOUR LEGEND</t>
        </is>
      </c>
    </row>
    <row r="9">
      <c r="A9" s="2" t="inlineStr">
        <is>
          <t>Blue text = hardcoded input (edit these).  Black text = formula.  Green text = link to another sheet.</t>
        </is>
      </c>
    </row>
    <row r="10">
      <c r="A10" s="2" t="inlineStr">
        <is>
          <t>Yellow fill = key assumption or estimate that should be checked or replaced (especially the equipment costs on sheet CAPEX).</t>
        </is>
      </c>
    </row>
    <row r="11">
      <c r="A11" s="2" t="inlineStr">
        <is>
          <t>Edit only blue cells. Every input has its source in the column next to it or in a cell comment.</t>
        </is>
      </c>
    </row>
    <row r="12">
      <c r="A12" s="2" t="inlineStr"/>
    </row>
    <row r="13">
      <c r="A13" s="3" t="inlineStr">
        <is>
          <t>SHEETS</t>
        </is>
      </c>
    </row>
    <row r="14">
      <c r="A14" s="2" t="inlineStr">
        <is>
          <t>Process_Data: mass flows and energy duties from the latest Aspen run (2026-10-06).</t>
        </is>
      </c>
    </row>
    <row r="15">
      <c r="A15" s="2" t="inlineStr">
        <is>
          <t>Assumptions: economic method, prices and LCA factors, with sources.</t>
        </is>
      </c>
    </row>
    <row r="16">
      <c r="A16" s="2" t="inlineStr">
        <is>
          <t>CAPEX: equipment list (indicative purchased costs) and the capital-cost build-up of the reference papers (Table 4 / Table 5).</t>
        </is>
      </c>
    </row>
    <row r="17">
      <c r="A17" s="2" t="inlineStr">
        <is>
          <t>OPEX: steady-state annual operating cost and by-product credits (85 % capacity factor).</t>
        </is>
      </c>
    </row>
    <row r="18">
      <c r="A18" s="2" t="inlineStr">
        <is>
          <t>DCF: 3 construction years + 20 operating years, start-up factors and escalation rates of the papers; LCOH at 10 % IRR.</t>
        </is>
      </c>
    </row>
    <row r="19">
      <c r="A19" s="2" t="inlineStr">
        <is>
          <t>LCA: energy balance, net energy ratio (NER = renewable energy out / fossil energy in, as defined in the papers) and gate-to-gate GHG.</t>
        </is>
      </c>
    </row>
    <row r="20">
      <c r="A20" s="2" t="inlineStr">
        <is>
          <t>Summary: key results, cost breakdown and a one-at-a-time sensitivity table.</t>
        </is>
      </c>
    </row>
    <row r="21">
      <c r="A21" s="2" t="inlineStr"/>
    </row>
    <row r="22">
      <c r="A22" s="3" t="inlineStr">
        <is>
          <t>METHOD (from the reference papers)</t>
        </is>
      </c>
    </row>
    <row r="23">
      <c r="A23" s="2" t="inlineStr">
        <is>
          <t>Capital: turnkey items (AD plant, biogas upgrading) use installed costs from IEA Bioenergy (Task 37, 2015; Task 44, 2025) + 12.5 % owner costs; purchased items (pyrolysis reactor, furnace, cooler, carbon separation, zeolite premium) use Turton and Towler &amp; Sinnott correlations escalated with CEPCI to 2024, then x 302 % installation + 89 % indirect (papers). Then + 20 % contingency and + 10 % location factor on everything.</t>
        </is>
      </c>
    </row>
    <row r="24">
      <c r="A24" s="2" t="inlineStr">
        <is>
          <t>Operating: maintenance 3 % of TPI; operating charges 25 % of labour; plant overhead 50 % of labour + maintenance; G&amp;A 8 % of total operating cost.</t>
        </is>
      </c>
    </row>
    <row r="25">
      <c r="A25" s="2" t="inlineStr">
        <is>
          <t>Economics: 20-year life, 10 % IRR, construction spread 20/35/45 %, start-up factors 0.70/0.80/0.85, escalation rates as in Patel et al. 2019 (WBV, Table 6).</t>
        </is>
      </c>
    </row>
    <row r="26">
      <c r="A26" s="2" t="inlineStr">
        <is>
          <t>LCOH = present value of all costs minus by-product credits, divided by present value of hydrogen output (first-year price that escalates at the product escalation rate), i.e. the papers' production-cost-at-IRR approach. A simple constant-dollar (CRF) LCOH is also given as a cross-check.</t>
        </is>
      </c>
    </row>
    <row r="27">
      <c r="A27" s="2" t="inlineStr"/>
    </row>
    <row r="28">
      <c r="A28" s="3" t="inlineStr">
        <is>
          <t>IMPORTANT LIMITATIONS</t>
        </is>
      </c>
    </row>
    <row r="29">
      <c r="A29" s="2" t="inlineStr">
        <is>
          <t>1. Equipment costs now come from published sources (IEA Bioenergy reports, Turton, Towler &amp; Sinnott; see CAPEX column G). Still uncertain: the furnace correlation is extrapolated below its 0.2 MW range, the carbon separator is an indicative estimate, small biogas upgrading units can cost about 2.5x the scaled IEA value, and zeolite membrane prices span 1,000-5,000 EUR/m2. APEA or vendor quotes remain the way to firm these up.</t>
        </is>
      </c>
    </row>
    <row r="30">
      <c r="A30" s="2" t="inlineStr">
        <is>
          <t>2. The plant is very small (8.5 t/d wet biomass, about 33 t H2/yr), so capital and labour dominate and the LCOH is high. The papers report a capital-cost scale factor of 0.71 (WBV 2019), so larger plants are much cheaper per kg.</t>
        </is>
      </c>
    </row>
    <row r="31">
      <c r="A31" s="2" t="inlineStr">
        <is>
          <t>3. Process data come from the model as it stands. Known model issues: pyrolysis outlet slightly beyond equilibrium (H2 about 4 % high); RSTOIC ethanol step inactive (CH4 up to about 5 % low). See docs/fixes in the project.</t>
        </is>
      </c>
    </row>
    <row r="32">
      <c r="A32" s="2" t="inlineStr">
        <is>
          <t>4. Pyrolysis reactor heat duty is not printed by Aspen; it is estimated from reaction enthalpies at 790 C computed with Perry's Handbook data (Process_Data).</t>
        </is>
      </c>
    </row>
    <row r="33">
      <c r="A33" s="2" t="inlineStr">
        <is>
          <t>5. Not modelled or costed: hydrogen purification (product gas also holds CO and water), heat integration, digestate treatment, taxes, working capital, land.</t>
        </is>
      </c>
    </row>
    <row r="34">
      <c r="A34" s="2" t="inlineStr">
        <is>
          <t>6. LCA is gate-to-gate (plant energy use only); it excludes construction, feedstock production and transport, and digestate use. Biogenic CO2 is reported but not counted.</t>
        </is>
      </c>
    </row>
    <row r="35">
      <c r="A35" s="2" t="inlineStr"/>
    </row>
    <row r="36">
      <c r="A36" s="3" t="inlineStr">
        <is>
          <t>REFERENCES</t>
        </is>
      </c>
    </row>
    <row r="37">
      <c r="A37" s="2" t="inlineStr">
        <is>
          <t>[1] Patel, Oyedun, Kumar, Gupta (2019), Fuel Processing Technology 191:79-92 (TEA/LCA-ref-docs/1-s2.0-S0378382018318666-main.pdf)</t>
        </is>
      </c>
    </row>
    <row r="38">
      <c r="A38" s="2" t="inlineStr">
        <is>
          <t>[2] Patel, Oyedun, Kumar, Gupta (2019), Waste and Biomass Valorization 10:2745-2760 (TEA/LCA-ref-docs/s12649-018-0359-x.pdf)</t>
        </is>
      </c>
    </row>
    <row r="39">
      <c r="A39" s="2" t="inlineStr">
        <is>
          <t>[3] Perry's Chemical Engineers' Handbook, 8th ed. (ideal-gas Cp Table 2-156; dHf Table 2-179) for the pyrolysis reaction enthalpies.</t>
        </is>
      </c>
    </row>
    <row r="40">
      <c r="A40" s="2" t="inlineStr">
        <is>
          <t>[4] IPCC 2006 Guidelines, Vol. 2, Table 2.2: natural gas combustion 56,100 kg CO2/TJ.</t>
        </is>
      </c>
    </row>
    <row r="41">
      <c r="A41" s="2" t="inlineStr">
        <is>
          <t>[5] IEA Bioenergy Task 37 (2015), Exploring the viability of small scale anaerobic digesters in livestock farming, ISBN 978-1-910154-25-0, section 5.1, Table 9, Appendix A</t>
        </is>
      </c>
    </row>
    <row r="42">
      <c r="A42" s="2" t="inlineStr">
        <is>
          <t>[6] IEA Bioenergy Task 44 (2025), Technologies for Flexible Bioenergy (Updated), p. 24 (biogas upgrading costs)</t>
        </is>
      </c>
    </row>
    <row r="43">
      <c r="A43" s="2" t="inlineStr">
        <is>
          <t>[7] Towler &amp; Sinnott (2013), Chemical Engineering Design 2nd ed., Table 7.2 (US Gulf Coast, Jan 2010, CEPCI 532.9) and Table 7.6</t>
        </is>
      </c>
    </row>
    <row r="44">
      <c r="A44" s="2" t="inlineStr">
        <is>
          <t>[8] Turton et al., Analysis, Synthesis and Design of Chemical Processes, 5th ed., Appendix A (2001 basis, CEPCI 394.3), constants as coded in github.com/weepctxb/ChemEngDPpy capex.py</t>
        </is>
      </c>
    </row>
    <row r="45">
      <c r="A45" s="2" t="inlineStr">
        <is>
          <t>[9] US EIA: Electric Power Annual 2024 (industrial electricity 8.13 c/kWh); Natural Gas Annual 2024 (industrial gas 3.93 $/Mcf).</t>
        </is>
      </c>
    </row>
    <row r="46">
      <c r="A46" s="2" t="inlineStr">
        <is>
          <t>[10] US BLS OEWS May 2024, Chemical Plant and System Operators (SOC 51-8091), median wage $80,030.</t>
        </is>
      </c>
    </row>
    <row r="47">
      <c r="A47" s="2" t="inlineStr">
        <is>
          <t>[11] US EPA eGRID2022 (via GHG Equivalencies Calculator): US total output CO2 rate 823.1 lb/MWh.</t>
        </is>
      </c>
    </row>
    <row r="48">
      <c r="A48" s="2" t="inlineStr">
        <is>
          <t>[12] Chemical Engineering magazine CEPCI (2014 annual 576.1; 2024 monthly about 795-800). ECB 2024 average 1.0824 USD/EUR.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showGridLines="0" workbookViewId="0">
      <selection activeCell="A1" sqref="A1"/>
    </sheetView>
  </sheetViews>
  <sheetFormatPr baseColWidth="8" defaultRowHeight="15"/>
  <cols>
    <col width="56" customWidth="1" min="1" max="1"/>
    <col width="18" customWidth="1" min="2" max="2"/>
    <col width="16" customWidth="1" min="3" max="3"/>
    <col width="60" customWidth="1" min="4" max="4"/>
  </cols>
  <sheetData>
    <row r="1">
      <c r="A1" s="4" t="inlineStr">
        <is>
          <t>Summary: TEA and LCA of the current process (USD)</t>
        </is>
      </c>
    </row>
    <row r="2">
      <c r="A2" s="5" t="inlineStr">
        <is>
          <t>Screening estimate. Equipment costs are indicative (see CAPEX); process data from the Aspen run of 2026-10-06.</t>
        </is>
      </c>
    </row>
    <row r="4">
      <c r="A4" s="6" t="inlineStr">
        <is>
          <t>Result</t>
        </is>
      </c>
      <c r="B4" s="6" t="inlineStr">
        <is>
          <t>Value</t>
        </is>
      </c>
      <c r="C4" s="6" t="inlineStr">
        <is>
          <t>Unit</t>
        </is>
      </c>
      <c r="D4" s="6" t="inlineStr">
        <is>
          <t>Note</t>
        </is>
      </c>
    </row>
    <row r="5">
      <c r="A5" s="7" t="inlineStr">
        <is>
          <t>Hydrogen production (steady state)</t>
        </is>
      </c>
      <c r="B5" s="8">
        <f>OPEX!$B$30/1000</f>
        <v/>
      </c>
      <c r="C5" s="7" t="inlineStr">
        <is>
          <t>t/yr</t>
        </is>
      </c>
      <c r="D5" s="9" t="inlineStr">
        <is>
          <t>85 % capacity factor</t>
        </is>
      </c>
    </row>
    <row r="6">
      <c r="A6" s="7" t="inlineStr">
        <is>
          <t>Solid carbon by-product</t>
        </is>
      </c>
      <c r="B6" s="8">
        <f>OPEX!$B$27</f>
        <v/>
      </c>
      <c r="C6" s="7" t="inlineStr">
        <is>
          <t>t/yr</t>
        </is>
      </c>
      <c r="D6" s="9" t="inlineStr"/>
    </row>
    <row r="7">
      <c r="A7" s="7" t="inlineStr">
        <is>
          <t>Turnkey items (AD plant + upgrading), installed</t>
        </is>
      </c>
      <c r="B7" s="10">
        <f>CAPEX!$F$14</f>
        <v/>
      </c>
      <c r="C7" s="7" t="inlineStr">
        <is>
          <t>USD</t>
        </is>
      </c>
      <c r="D7" s="9" t="inlineStr">
        <is>
          <t>IEA Bioenergy cost data</t>
        </is>
      </c>
    </row>
    <row r="8">
      <c r="A8" s="7" t="inlineStr">
        <is>
          <t>Purchased equipment (pyrolysis section, membrane premium)</t>
        </is>
      </c>
      <c r="B8" s="10">
        <f>CAPEX!$F$16</f>
        <v/>
      </c>
      <c r="C8" s="7" t="inlineStr">
        <is>
          <t>USD</t>
        </is>
      </c>
      <c r="D8" s="9" t="inlineStr">
        <is>
          <t>Textbook correlations + factors of [1], [2]</t>
        </is>
      </c>
    </row>
    <row r="9">
      <c r="A9" s="11" t="inlineStr">
        <is>
          <t>Total project investment (TPI)</t>
        </is>
      </c>
      <c r="B9" s="12">
        <f>CAPEX!$F$23</f>
        <v/>
      </c>
      <c r="C9" s="7" t="inlineStr">
        <is>
          <t>USD</t>
        </is>
      </c>
      <c r="D9" s="9" t="inlineStr">
        <is>
          <t>TPEC x factors of [1], [2]</t>
        </is>
      </c>
    </row>
    <row r="10">
      <c r="A10" s="7" t="inlineStr">
        <is>
          <t>Annual operating cost (steady state)</t>
        </is>
      </c>
      <c r="B10" s="10">
        <f>OPEX!$D$24</f>
        <v/>
      </c>
      <c r="C10" s="7" t="inlineStr">
        <is>
          <t>USD/yr</t>
        </is>
      </c>
      <c r="D10" s="9" t="inlineStr"/>
    </row>
    <row r="11">
      <c r="A11" s="7" t="inlineStr">
        <is>
          <t>Annual by-product credits</t>
        </is>
      </c>
      <c r="B11" s="10">
        <f>OPEX!$D$29</f>
        <v/>
      </c>
      <c r="C11" s="7" t="inlineStr">
        <is>
          <t>USD/yr</t>
        </is>
      </c>
      <c r="D11" s="9" t="inlineStr">
        <is>
          <t>Solid carbon (+ digestate if valued)</t>
        </is>
      </c>
    </row>
    <row r="12">
      <c r="A12" s="11" t="inlineStr">
        <is>
          <t>Levelised cost of hydrogen (DCF, 10 % IRR)</t>
        </is>
      </c>
      <c r="B12" s="13">
        <f>DCF!$B$26</f>
        <v/>
      </c>
      <c r="C12" s="7" t="inlineStr">
        <is>
          <t>USD/kg H2</t>
        </is>
      </c>
      <c r="D12" s="9" t="inlineStr">
        <is>
          <t>First-year price escalating 5 %/yr ([1], [2] method)</t>
        </is>
      </c>
    </row>
    <row r="13">
      <c r="A13" s="7" t="inlineStr">
        <is>
          <t>Capital recovery factor</t>
        </is>
      </c>
      <c r="B13" s="14">
        <f>(Assumptions!$B$10*(1+Assumptions!$B$10)^Assumptions!$B$9/((1+Assumptions!$B$10)^Assumptions!$B$9-1))</f>
        <v/>
      </c>
      <c r="C13" s="7" t="inlineStr">
        <is>
          <t>-</t>
        </is>
      </c>
      <c r="D13" s="9" t="inlineStr">
        <is>
          <t>Constant-dollar cross-check</t>
        </is>
      </c>
    </row>
    <row r="14">
      <c r="A14" s="7" t="inlineStr">
        <is>
          <t>LCOH, simple constant-dollar (CRF x TPI + OPEX - credits) / H2</t>
        </is>
      </c>
      <c r="B14" s="15">
        <f>(B13*B9+B10-B11)/OPEX!$B$30</f>
        <v/>
      </c>
      <c r="C14" s="7" t="inlineStr">
        <is>
          <t>USD/kg H2</t>
        </is>
      </c>
      <c r="D14" s="9" t="inlineStr">
        <is>
          <t>No escalation, no construction period</t>
        </is>
      </c>
    </row>
    <row r="15">
      <c r="A15" s="11" t="inlineStr">
        <is>
          <t>Net energy ratio (NER)</t>
        </is>
      </c>
      <c r="B15" s="16">
        <f>LCA!$B$12</f>
        <v/>
      </c>
      <c r="C15" s="7" t="inlineStr">
        <is>
          <t>-</t>
        </is>
      </c>
      <c r="D15" s="9" t="inlineStr">
        <is>
          <t>[1] definition</t>
        </is>
      </c>
    </row>
    <row r="16">
      <c r="A16" s="11" t="inlineStr">
        <is>
          <t>GHG intensity (gate-to-gate)</t>
        </is>
      </c>
      <c r="B16" s="17">
        <f>LCA!$B$20</f>
        <v/>
      </c>
      <c r="C16" s="7" t="inlineStr">
        <is>
          <t>kg CO2e/kg H2</t>
        </is>
      </c>
      <c r="D16" s="9" t="inlineStr">
        <is>
          <t>Carbon-storage credit per switch on Assumptions</t>
        </is>
      </c>
    </row>
    <row r="18">
      <c r="A18" s="11" t="inlineStr">
        <is>
          <t>Annual cost breakdown (steady state)</t>
        </is>
      </c>
    </row>
    <row r="19">
      <c r="A19" s="6" t="inlineStr">
        <is>
          <t>Component</t>
        </is>
      </c>
      <c r="B19" s="6" t="inlineStr">
        <is>
          <t>USD/yr</t>
        </is>
      </c>
      <c r="C19" s="6" t="inlineStr">
        <is>
          <t>Share</t>
        </is>
      </c>
      <c r="D19" s="6" t="inlineStr"/>
    </row>
    <row r="20">
      <c r="A20" s="7" t="inlineStr">
        <is>
          <t>Capital (CRF x TPI)</t>
        </is>
      </c>
      <c r="B20" s="10">
        <f>B13*B9</f>
        <v/>
      </c>
      <c r="C20" s="18">
        <f>B20/B$28</f>
        <v/>
      </c>
    </row>
    <row r="21">
      <c r="A21" s="7" t="inlineStr">
        <is>
          <t>Utilities</t>
        </is>
      </c>
      <c r="B21" s="10">
        <f>OPEX!$D$10</f>
        <v/>
      </c>
      <c r="C21" s="18">
        <f>B21/B$28</f>
        <v/>
      </c>
    </row>
    <row r="22">
      <c r="A22" s="7" t="inlineStr">
        <is>
          <t>Raw materials (water, feed, catalyst, membrane)</t>
        </is>
      </c>
      <c r="B22" s="10">
        <f>OPEX!$D$16</f>
        <v/>
      </c>
      <c r="C22" s="18">
        <f>B22/B$28</f>
        <v/>
      </c>
    </row>
    <row r="23">
      <c r="A23" s="7" t="inlineStr">
        <is>
          <t>Operating labour</t>
        </is>
      </c>
      <c r="B23" s="10">
        <f>OPEX!$D$18</f>
        <v/>
      </c>
      <c r="C23" s="18">
        <f>B23/B$28</f>
        <v/>
      </c>
    </row>
    <row r="24">
      <c r="A24" s="7" t="inlineStr">
        <is>
          <t>Maintenance</t>
        </is>
      </c>
      <c r="B24" s="10">
        <f>OPEX!$D$19</f>
        <v/>
      </c>
      <c r="C24" s="18">
        <f>B24/B$28</f>
        <v/>
      </c>
    </row>
    <row r="25">
      <c r="A25" s="7" t="inlineStr">
        <is>
          <t>Operating charges + plant overhead</t>
        </is>
      </c>
      <c r="B25" s="10">
        <f>OPEX!$D$21+OPEX!$D$22</f>
        <v/>
      </c>
      <c r="C25" s="18">
        <f>B25/B$28</f>
        <v/>
      </c>
    </row>
    <row r="26">
      <c r="A26" s="7" t="inlineStr">
        <is>
          <t>General &amp; administrative</t>
        </is>
      </c>
      <c r="B26" s="10">
        <f>OPEX!$D$23</f>
        <v/>
      </c>
      <c r="C26" s="18">
        <f>B26/B$28</f>
        <v/>
      </c>
    </row>
    <row r="27">
      <c r="A27" s="7" t="inlineStr">
        <is>
          <t>By-product credits (negative)</t>
        </is>
      </c>
      <c r="B27" s="10">
        <f>-B11</f>
        <v/>
      </c>
      <c r="C27" s="18">
        <f>B27/B$28</f>
        <v/>
      </c>
    </row>
    <row r="28">
      <c r="A28" s="11" t="inlineStr">
        <is>
          <t>Total annual net cost</t>
        </is>
      </c>
      <c r="B28" s="19">
        <f>SUM(B20:B27)</f>
        <v/>
      </c>
      <c r="C28" s="18">
        <f>SUM(C20:C27)</f>
        <v/>
      </c>
    </row>
    <row r="29">
      <c r="A29" s="7" t="inlineStr">
        <is>
          <t>Check: total / H2 = simple LCOH</t>
        </is>
      </c>
      <c r="B29" s="20">
        <f>B28/OPEX!$B$30</f>
        <v/>
      </c>
    </row>
    <row r="31">
      <c r="A31" s="11" t="inlineStr">
        <is>
          <t>One-at-a-time sensitivity of the simple LCOH (USD/kg H2)</t>
        </is>
      </c>
    </row>
    <row r="32">
      <c r="A32" s="6" t="inlineStr">
        <is>
          <t>Case</t>
        </is>
      </c>
      <c r="B32" s="6" t="inlineStr">
        <is>
          <t>LCOH (USD/kg)</t>
        </is>
      </c>
      <c r="C32" s="6" t="inlineStr">
        <is>
          <t>Change vs base</t>
        </is>
      </c>
      <c r="D32" s="6" t="inlineStr">
        <is>
          <t>How it is computed</t>
        </is>
      </c>
    </row>
    <row r="33">
      <c r="A33" s="7" t="inlineStr">
        <is>
          <t>Base case</t>
        </is>
      </c>
      <c r="B33" s="20">
        <f>B14</f>
        <v/>
      </c>
      <c r="C33" s="18">
        <f>B33/B14-1</f>
        <v/>
      </c>
      <c r="D33" s="9" t="inlineStr">
        <is>
          <t>Base</t>
        </is>
      </c>
    </row>
    <row r="34">
      <c r="A34" s="7" t="inlineStr">
        <is>
          <t>Capital (TPI) -30 %</t>
        </is>
      </c>
      <c r="B34" s="20">
        <f>B14+(-0.3*B13*B9-0.3*OPEX!$D$19*(1+Assumptions!$B$28+Assumptions!$B$29))/OPEX!$B$30</f>
        <v/>
      </c>
      <c r="C34" s="18">
        <f>B34/B14-1</f>
        <v/>
      </c>
      <c r="D34" s="9" t="inlineStr">
        <is>
          <t>Capital term, maintenance and its overhead/G&amp;A scale with TPI</t>
        </is>
      </c>
    </row>
    <row r="35">
      <c r="A35" s="7" t="inlineStr">
        <is>
          <t>Capital (TPI) +30 %</t>
        </is>
      </c>
      <c r="B35" s="20">
        <f>B14+(0.3*B13*B9+0.3*OPEX!$D$19*(1+Assumptions!$B$28+Assumptions!$B$29))/OPEX!$B$30</f>
        <v/>
      </c>
      <c r="C35" s="18">
        <f>B35/B14-1</f>
        <v/>
      </c>
      <c r="D35" s="9" t="inlineStr">
        <is>
          <t>As above</t>
        </is>
      </c>
    </row>
    <row r="36">
      <c r="A36" s="7" t="inlineStr">
        <is>
          <t>Natural gas price x2</t>
        </is>
      </c>
      <c r="B36" s="20">
        <f>B14+(OPEX!$D$7+OPEX!$D$8)*(1+Assumptions!$B$29)/OPEX!$B$30</f>
        <v/>
      </c>
      <c r="C36" s="18">
        <f>B36/B14-1</f>
        <v/>
      </c>
      <c r="D36" s="9" t="inlineStr">
        <is>
          <t>Adds one more year of gas cost (+ G&amp;A)</t>
        </is>
      </c>
    </row>
    <row r="37">
      <c r="A37" s="7" t="inlineStr">
        <is>
          <t>Electricity price x2</t>
        </is>
      </c>
      <c r="B37" s="20">
        <f>B14+OPEX!$D$6*(1+Assumptions!$B$29)/OPEX!$B$30</f>
        <v/>
      </c>
      <c r="C37" s="18">
        <f>B37/B14-1</f>
        <v/>
      </c>
      <c r="D37" s="9" t="inlineStr">
        <is>
          <t>Adds one more year of electricity cost (+ G&amp;A)</t>
        </is>
      </c>
    </row>
    <row r="38">
      <c r="A38" s="7" t="inlineStr">
        <is>
          <t>Operating labour x0.5</t>
        </is>
      </c>
      <c r="B38" s="20">
        <f>B14-0.5*OPEX!$D$18*(1+Assumptions!$B$27+Assumptions!$B$28+Assumptions!$B$29)/OPEX!$B$30</f>
        <v/>
      </c>
      <c r="C38" s="18">
        <f>B38/B14-1</f>
        <v/>
      </c>
      <c r="D38" s="9" t="inlineStr">
        <is>
          <t>Labour with its charges, overhead and G&amp;A</t>
        </is>
      </c>
    </row>
    <row r="39">
      <c r="A39" s="7" t="inlineStr">
        <is>
          <t>Solid carbon credit 1,200 USD/t (carbon-black price level)</t>
        </is>
      </c>
      <c r="B39" s="20">
        <f>B14-OPEX!$B$27*(1200-Assumptions!$B$49)/OPEX!$B$30</f>
        <v/>
      </c>
      <c r="C39" s="18">
        <f>B39/B14-1</f>
        <v/>
      </c>
      <c r="D39" s="9" t="inlineStr">
        <is>
          <t>Carbon sold near the 2024 carbon-black price (about 1,040-1,820 $/t)</t>
        </is>
      </c>
    </row>
    <row r="40">
      <c r="A40" s="7" t="inlineStr">
        <is>
          <t>Upgrading unit cost at IEA Task 37 small-unit level (x2.5)</t>
        </is>
      </c>
      <c r="B40" s="20">
        <f>B14+1.5*CAPEX!$F$6*(1+Assumptions!$B$65)*(1+Assumptions!$B$23)*(1+Assumptions!$B$24)*(B13+Assumptions!$B$26*(1+Assumptions!$B$28+Assumptions!$B$29))/OPEX!$B$30</f>
        <v/>
      </c>
      <c r="C40" s="18">
        <f>B40/B14-1</f>
        <v/>
      </c>
      <c r="D40" s="9" t="inlineStr">
        <is>
          <t>Small 10-30 m3/h units (233-361 kGBP in 2014) suggest roughly 2.5x the scaled IEA Task 44 value</t>
        </is>
      </c>
    </row>
    <row r="41">
      <c r="A41" s="7" t="inlineStr">
        <is>
          <t>Zeolite membrane price 5,000 USD/m2</t>
        </is>
      </c>
      <c r="B41" s="20">
        <f>B14+Process_Data!$B$12*(5000-Assumptions!$B$44)*((Assumptions!$B$21+Assumptions!$B$22)*(1+Assumptions!$B$23)*(1+Assumptions!$B$24)*(B13+Assumptions!$B$26*(1+Assumptions!$B$28+Assumptions!$B$29))+1/Assumptions!$B$46*(1+Assumptions!$B$29))/OPEX!$B$30</f>
        <v/>
      </c>
      <c r="C41" s="18">
        <f>B41/B14-1</f>
        <v/>
      </c>
      <c r="D41" s="9" t="inlineStr">
        <is>
          <t>Top of the 1,000-5,000 EUR/m2 literature range</t>
        </is>
      </c>
    </row>
    <row r="42">
      <c r="A42" s="7" t="inlineStr">
        <is>
          <t>Hydrogen output -4.2 % (equilibrium-limited pyrolysis)</t>
        </is>
      </c>
      <c r="B42" s="20">
        <f>B14/(1-0.042)</f>
        <v/>
      </c>
      <c r="C42" s="18">
        <f>B42/B14-1</f>
        <v/>
      </c>
      <c r="D42" s="9" t="inlineStr">
        <is>
          <t>Model H2 is about 4 % above equilibrium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6"/>
  <sheetViews>
    <sheetView showGridLines="0" workbookViewId="0">
      <selection activeCell="A1" sqref="A1"/>
    </sheetView>
  </sheetViews>
  <sheetFormatPr baseColWidth="8" defaultRowHeight="15"/>
  <cols>
    <col width="46" customWidth="1" min="1" max="1"/>
    <col width="14" customWidth="1" min="2" max="2"/>
    <col width="12" customWidth="1" min="3" max="3"/>
    <col width="90" customWidth="1" min="4" max="4"/>
  </cols>
  <sheetData>
    <row r="1">
      <c r="A1" s="21" t="inlineStr">
        <is>
          <t>Process data from the Aspen Plus model (latest run 2026-10-06)</t>
        </is>
      </c>
    </row>
    <row r="3">
      <c r="A3" s="6" t="inlineStr">
        <is>
          <t>Item</t>
        </is>
      </c>
      <c r="B3" s="6" t="inlineStr">
        <is>
          <t>Value</t>
        </is>
      </c>
      <c r="C3" s="6" t="inlineStr">
        <is>
          <t>Unit</t>
        </is>
      </c>
      <c r="D3" s="6" t="inlineStr">
        <is>
          <t>Source / note</t>
        </is>
      </c>
    </row>
    <row r="4">
      <c r="A4" s="11" t="inlineStr">
        <is>
          <t>Streams and products</t>
        </is>
      </c>
    </row>
    <row r="5">
      <c r="A5" s="7" t="inlineStr">
        <is>
          <t>Biomass feed (wet, 75.2 % water)</t>
        </is>
      </c>
      <c r="B5" s="22" t="n">
        <v>354.1667</v>
      </c>
      <c r="C5" s="7" t="inlineStr">
        <is>
          <t>kg/h</t>
        </is>
      </c>
      <c r="D5" s="9" t="inlineStr">
        <is>
          <t>8.5 t/d (stream BIOMASS). Aspen Plus run 2026-10-06 (files/Memb-Integration-1.his and .bkp)</t>
        </is>
      </c>
    </row>
    <row r="6">
      <c r="A6" s="7" t="inlineStr">
        <is>
          <t>Process water (WATERIN)</t>
        </is>
      </c>
      <c r="B6" s="22" t="n">
        <v>541.6667</v>
      </c>
      <c r="C6" s="7" t="inlineStr">
        <is>
          <t>kg/h</t>
        </is>
      </c>
      <c r="D6" s="9" t="inlineStr">
        <is>
          <t>13 t/d. Aspen Plus run 2026-10-06 (files/Memb-Integration-1.his and .bkp)</t>
        </is>
      </c>
    </row>
    <row r="7">
      <c r="A7" s="7" t="inlineStr">
        <is>
          <t>Biogas to upgrading (GAS2C)</t>
        </is>
      </c>
      <c r="B7" s="23" t="n">
        <v>2.26801</v>
      </c>
      <c r="C7" s="7" t="inlineStr">
        <is>
          <t>kmol/h</t>
        </is>
      </c>
      <c r="D7" s="9" t="inlineStr">
        <is>
          <t>Aspen Plus run 2026-10-06 (files/Memb-Integration-1.his and .bkp)</t>
        </is>
      </c>
    </row>
    <row r="8">
      <c r="A8" s="7" t="inlineStr">
        <is>
          <t xml:space="preserve">  CH4 mole fraction in biogas</t>
        </is>
      </c>
      <c r="B8" s="23" t="n">
        <v>0.587344</v>
      </c>
      <c r="C8" s="7" t="inlineStr">
        <is>
          <t>-</t>
        </is>
      </c>
      <c r="D8" s="9" t="inlineStr">
        <is>
          <t>Aspen Plus run 2026-10-06 (files/Memb-Integration-1.his and .bkp)</t>
        </is>
      </c>
    </row>
    <row r="9">
      <c r="A9" s="7" t="inlineStr">
        <is>
          <t xml:space="preserve">  Biogas volumetric flow</t>
        </is>
      </c>
      <c r="B9" s="24">
        <f>B7*22.414</f>
        <v/>
      </c>
      <c r="C9" s="7" t="inlineStr">
        <is>
          <t>Nm3/h</t>
        </is>
      </c>
      <c r="D9" s="9" t="inlineStr">
        <is>
          <t>Formula: kmol/h x 22.414 Nm3/kmol</t>
        </is>
      </c>
    </row>
    <row r="10">
      <c r="A10" s="7" t="inlineStr">
        <is>
          <t xml:space="preserve">  Methane energy in biogas (LHV)</t>
        </is>
      </c>
      <c r="B10" s="24">
        <f>B7*B8*802.3/3.6</f>
        <v/>
      </c>
      <c r="C10" s="7" t="inlineStr">
        <is>
          <t>kW</t>
        </is>
      </c>
      <c r="D10" s="9" t="inlineStr">
        <is>
          <t>Formula: CH4 kmol/h x 802.3 MJ/kmol (Perry Table 2-179, net heat of combustion of methane) / 3.6</t>
        </is>
      </c>
    </row>
    <row r="11">
      <c r="A11" s="7" t="inlineStr">
        <is>
          <t>Digestate (stream LIQUID)</t>
        </is>
      </c>
      <c r="B11" s="22" t="n">
        <v>823.302</v>
      </c>
      <c r="C11" s="7" t="inlineStr">
        <is>
          <t>kg/h</t>
        </is>
      </c>
      <c r="D11" s="9" t="inlineStr">
        <is>
          <t>Aspen Plus run 2026-10-06 (files/Memb-Integration-1.his and .bkp) (stored stream result)</t>
        </is>
      </c>
    </row>
    <row r="12">
      <c r="A12" s="7" t="inlineStr">
        <is>
          <t>Membrane area (MEMB1, parameter A)</t>
        </is>
      </c>
      <c r="B12" s="22" t="n">
        <v>5</v>
      </c>
      <c r="C12" s="7" t="inlineStr">
        <is>
          <t>m2</t>
        </is>
      </c>
      <c r="D12" s="9" t="inlineStr">
        <is>
          <t>ACM model files/zeo_real.acmf</t>
        </is>
      </c>
    </row>
    <row r="13">
      <c r="A13" s="7" t="inlineStr">
        <is>
          <t>Retentate to pyrolysis (RET)</t>
        </is>
      </c>
      <c r="B13" s="23" t="n">
        <v>1.68885</v>
      </c>
      <c r="C13" s="7" t="inlineStr">
        <is>
          <t>kmol/h</t>
        </is>
      </c>
      <c r="D13" s="9" t="inlineStr">
        <is>
          <t>Aspen Plus run 2026-10-06 (files/Memb-Integration-1.his and .bkp)</t>
        </is>
      </c>
    </row>
    <row r="14">
      <c r="A14" s="7" t="inlineStr">
        <is>
          <t xml:space="preserve">  CH4 mole fraction in retentate</t>
        </is>
      </c>
      <c r="B14" s="23" t="n">
        <v>0.76431</v>
      </c>
      <c r="C14" s="7" t="inlineStr">
        <is>
          <t>-</t>
        </is>
      </c>
      <c r="D14" s="9" t="inlineStr">
        <is>
          <t>Aspen Plus run 2026-10-06 (files/Memb-Integration-1.his and .bkp)</t>
        </is>
      </c>
    </row>
    <row r="15">
      <c r="A15" s="7" t="inlineStr">
        <is>
          <t>Permeate (PER, leaves process)</t>
        </is>
      </c>
      <c r="B15" s="23" t="n">
        <v>0.579162</v>
      </c>
      <c r="C15" s="7" t="inlineStr">
        <is>
          <t>kmol/h</t>
        </is>
      </c>
      <c r="D15" s="9" t="inlineStr">
        <is>
          <t>Aspen Plus run 2026-10-06 (files/Memb-Integration-1.his and .bkp)</t>
        </is>
      </c>
    </row>
    <row r="16">
      <c r="A16" s="7" t="inlineStr">
        <is>
          <t xml:space="preserve">  CO2 mole fraction in permeate</t>
        </is>
      </c>
      <c r="B16" s="23" t="n">
        <v>0.922368</v>
      </c>
      <c r="C16" s="7" t="inlineStr">
        <is>
          <t>-</t>
        </is>
      </c>
      <c r="D16" s="9" t="inlineStr">
        <is>
          <t>Aspen Plus run 2026-10-06 (files/Memb-Integration-1.his and .bkp)</t>
        </is>
      </c>
    </row>
    <row r="17">
      <c r="A17" s="7" t="inlineStr">
        <is>
          <t xml:space="preserve">  CH4 mole fraction in permeate</t>
        </is>
      </c>
      <c r="B17" s="23" t="n">
        <v>0.07130400000000001</v>
      </c>
      <c r="C17" s="7" t="inlineStr">
        <is>
          <t>-</t>
        </is>
      </c>
      <c r="D17" s="9" t="inlineStr">
        <is>
          <t>Aspen Plus run 2026-10-06 (files/Memb-Integration-1.his and .bkp)</t>
        </is>
      </c>
    </row>
    <row r="18">
      <c r="A18" s="7" t="inlineStr">
        <is>
          <t>Hydrogen in pyrolysis product (FINPROD)</t>
        </is>
      </c>
      <c r="B18" s="23" t="n">
        <v>2.19068</v>
      </c>
      <c r="C18" s="7" t="inlineStr">
        <is>
          <t>kmol/h</t>
        </is>
      </c>
      <c r="D18" s="9" t="inlineStr">
        <is>
          <t>Aspen Plus run 2026-10-06 (files/Memb-Integration-1.his and .bkp) (stored stream result). Model is about 4 % above equilibrium (see README).</t>
        </is>
      </c>
    </row>
    <row r="19">
      <c r="A19" s="7" t="inlineStr">
        <is>
          <t xml:space="preserve">  Hydrogen mass flow</t>
        </is>
      </c>
      <c r="B19" s="24">
        <f>B18*2.01588</f>
        <v/>
      </c>
      <c r="C19" s="7" t="inlineStr">
        <is>
          <t>kg/h</t>
        </is>
      </c>
      <c r="D19" s="9" t="inlineStr">
        <is>
          <t>Formula: kmol/h x 2.01588 kg/kmol</t>
        </is>
      </c>
    </row>
    <row r="20">
      <c r="A20" s="7" t="inlineStr">
        <is>
          <t>Methane converted = solid carbon formed</t>
        </is>
      </c>
      <c r="B20" s="23" t="n">
        <v>1.2908</v>
      </c>
      <c r="C20" s="7" t="inlineStr">
        <is>
          <t>kmol/h</t>
        </is>
      </c>
      <c r="D20" s="9" t="inlineStr">
        <is>
          <t>Aspen Plus run 2026-10-06 (files/Memb-Integration-1.his and .bkp) (CH4 in PYROIN 1.2908 kmol/h, about 100 % converted)</t>
        </is>
      </c>
    </row>
    <row r="21">
      <c r="A21" s="7" t="inlineStr">
        <is>
          <t xml:space="preserve">  Solid carbon mass flow</t>
        </is>
      </c>
      <c r="B21" s="24">
        <f>B20*12.011</f>
        <v/>
      </c>
      <c r="C21" s="7" t="inlineStr">
        <is>
          <t>kg/h</t>
        </is>
      </c>
      <c r="D21" s="9" t="inlineStr">
        <is>
          <t>Formula: kmol/h x 12.011 kg/kmol</t>
        </is>
      </c>
    </row>
    <row r="22">
      <c r="A22" s="7" t="inlineStr">
        <is>
          <t>CO in pyrolysis product (from RWGS)</t>
        </is>
      </c>
      <c r="B22" s="23" t="n">
        <v>0.394475</v>
      </c>
      <c r="C22" s="7" t="inlineStr">
        <is>
          <t>kmol/h</t>
        </is>
      </c>
      <c r="D22" s="9" t="inlineStr">
        <is>
          <t>Aspen Plus run 2026-10-06 (files/Memb-Integration-1.his and .bkp)</t>
        </is>
      </c>
    </row>
    <row r="23">
      <c r="A23" s="7" t="inlineStr">
        <is>
          <t>Pyrolysis catalyst charge</t>
        </is>
      </c>
      <c r="B23" s="22" t="n">
        <v>24.668</v>
      </c>
      <c r="C23" s="7" t="inlineStr">
        <is>
          <t>kg</t>
        </is>
      </c>
      <c r="D23" s="9" t="inlineStr">
        <is>
          <t>Block CH4PYRO input</t>
        </is>
      </c>
    </row>
    <row r="24">
      <c r="A24" s="11" t="inlineStr">
        <is>
          <t>Energy (kW; positive = heat or power in)</t>
        </is>
      </c>
    </row>
    <row r="25">
      <c r="A25" s="7" t="inlineStr">
        <is>
          <t>COMP1 compressor power</t>
        </is>
      </c>
      <c r="B25" s="22" t="n">
        <v>2.71</v>
      </c>
      <c r="C25" s="7" t="inlineStr">
        <is>
          <t>kW</t>
        </is>
      </c>
      <c r="D25" s="9" t="inlineStr">
        <is>
          <t>Aspen Plus run 2026-10-06 (files/Memb-Integration-1.his and .bkp) (indicated 2710 W)</t>
        </is>
      </c>
    </row>
    <row r="26">
      <c r="A26" s="7" t="inlineStr">
        <is>
          <t>COMP2 compressor power</t>
        </is>
      </c>
      <c r="B26" s="22" t="n">
        <v>2.758</v>
      </c>
      <c r="C26" s="7" t="inlineStr">
        <is>
          <t>kW</t>
        </is>
      </c>
      <c r="D26" s="9" t="inlineStr">
        <is>
          <t>Aspen Plus run 2026-10-06 (files/Memb-Integration-1.his and .bkp) (indicated 2758 W)</t>
        </is>
      </c>
    </row>
    <row r="27">
      <c r="A27" s="7" t="inlineStr">
        <is>
          <t>RSTOIC heating (feed to 55 C + hydrolysis)</t>
        </is>
      </c>
      <c r="B27" s="22" t="n">
        <v>25.036</v>
      </c>
      <c r="C27" s="7" t="inlineStr">
        <is>
          <t>kW</t>
        </is>
      </c>
      <c r="D27" s="9" t="inlineStr">
        <is>
          <t>Aspen Plus run 2026-10-06 (files/Memb-Integration-1.his and .bkp) (Q = 25036.2 W)</t>
        </is>
      </c>
    </row>
    <row r="28">
      <c r="A28" s="7" t="inlineStr">
        <is>
          <t>B1 digester heating</t>
        </is>
      </c>
      <c r="B28" s="22" t="n">
        <v>3.428</v>
      </c>
      <c r="C28" s="7" t="inlineStr">
        <is>
          <t>kW</t>
        </is>
      </c>
      <c r="D28" s="9" t="inlineStr">
        <is>
          <t>Aspen Plus run 2026-10-06 (files/Memb-Integration-1.his and .bkp) (reactor duty 3428.46 W)</t>
        </is>
      </c>
    </row>
    <row r="29">
      <c r="A29" s="7" t="inlineStr">
        <is>
          <t>HEAT2 heating 30 -&gt; 790 C</t>
        </is>
      </c>
      <c r="B29" s="22" t="n">
        <v>19.385</v>
      </c>
      <c r="C29" s="7" t="inlineStr">
        <is>
          <t>kW</t>
        </is>
      </c>
      <c r="D29" s="9" t="inlineStr">
        <is>
          <t>Aspen Plus run 2026-10-06 (files/Memb-Integration-1.his and .bkp) (Q = 19385.3 W; Perry Cp check gives 19.44 kW)</t>
        </is>
      </c>
    </row>
    <row r="30">
      <c r="A30" s="7" t="inlineStr">
        <is>
          <t xml:space="preserve">  Reaction enthalpy CH4 -&gt; C + 2H2 at 790 C</t>
        </is>
      </c>
      <c r="B30" s="25" t="n">
        <v>89.63</v>
      </c>
      <c r="C30" s="7" t="inlineStr">
        <is>
          <t>MJ/kmol</t>
        </is>
      </c>
      <c r="D30" s="9" t="inlineStr">
        <is>
          <t>Computed from Perry Handbook data (Cp Table 2-156, dHf Table 2-179, graphite Cp Table 2-151)</t>
        </is>
      </c>
    </row>
    <row r="31">
      <c r="A31" s="7" t="inlineStr">
        <is>
          <t xml:space="preserve">  Reaction enthalpy CO2 + H2 -&gt; CO + H2O at 790 C</t>
        </is>
      </c>
      <c r="B31" s="25" t="n">
        <v>34.2</v>
      </c>
      <c r="C31" s="7" t="inlineStr">
        <is>
          <t>MJ/kmol</t>
        </is>
      </c>
      <c r="D31" s="9" t="inlineStr">
        <is>
          <t>Same method as above</t>
        </is>
      </c>
    </row>
    <row r="32">
      <c r="A32" s="7" t="inlineStr">
        <is>
          <t>CH4PYRO reactor heat (estimate)</t>
        </is>
      </c>
      <c r="B32" s="26">
        <f>(B20*B30+B22*B31)/3.6</f>
        <v/>
      </c>
      <c r="C32" s="7" t="inlineStr">
        <is>
          <t>kW</t>
        </is>
      </c>
      <c r="D32" s="9" t="inlineStr">
        <is>
          <t>ESTIMATE: Aspen does not print the RPLUG duty. Formula = extents x reaction enthalpies (isothermal 790 C). Read the real duty from Aspen on Windows.</t>
        </is>
      </c>
    </row>
    <row r="33">
      <c r="A33" s="7" t="inlineStr">
        <is>
          <t>FLASH cooling (biogas to 25 C)</t>
        </is>
      </c>
      <c r="B33" s="22" t="n">
        <v>5.297</v>
      </c>
      <c r="C33" s="7" t="inlineStr">
        <is>
          <t>kW</t>
        </is>
      </c>
      <c r="D33" s="9" t="inlineStr">
        <is>
          <t>Aspen Plus run 2026-10-06 (files/Memb-Integration-1.his and .bkp) (Q = -5297.34 W)</t>
        </is>
      </c>
    </row>
    <row r="34">
      <c r="A34" s="7" t="inlineStr">
        <is>
          <t>COOL1 cooling</t>
        </is>
      </c>
      <c r="B34" s="22" t="n">
        <v>2.596</v>
      </c>
      <c r="C34" s="7" t="inlineStr">
        <is>
          <t>kW</t>
        </is>
      </c>
      <c r="D34" s="9" t="inlineStr">
        <is>
          <t>Aspen Plus run 2026-10-06 (files/Memb-Integration-1.his and .bkp) (Q = -2595.69 W)</t>
        </is>
      </c>
    </row>
    <row r="35">
      <c r="A35" s="7" t="inlineStr">
        <is>
          <t>COOL2 cooling</t>
        </is>
      </c>
      <c r="B35" s="22" t="n">
        <v>2.758</v>
      </c>
      <c r="C35" s="7" t="inlineStr">
        <is>
          <t>kW</t>
        </is>
      </c>
      <c r="D35" s="9" t="inlineStr">
        <is>
          <t>Aspen Plus run 2026-10-06 (files/Memb-Integration-1.his and .bkp) (Q = -2758.40 W)</t>
        </is>
      </c>
    </row>
    <row r="36">
      <c r="A36" s="7" t="inlineStr">
        <is>
          <t>Total cooling duty</t>
        </is>
      </c>
      <c r="B36" s="24">
        <f>B33+B34+B35</f>
        <v/>
      </c>
      <c r="C36" s="7" t="inlineStr">
        <is>
          <t>kW</t>
        </is>
      </c>
      <c r="D36" s="9" t="inlineStr">
        <is>
          <t>Formula. Pyrolysis product cooling is not modelled.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4"/>
  <sheetViews>
    <sheetView showGridLines="0" workbookViewId="0">
      <selection activeCell="A1" sqref="A1"/>
    </sheetView>
  </sheetViews>
  <sheetFormatPr baseColWidth="8" defaultRowHeight="15"/>
  <cols>
    <col width="50" customWidth="1" min="1" max="1"/>
    <col width="14" customWidth="1" min="2" max="2"/>
    <col width="14" customWidth="1" min="3" max="3"/>
    <col width="95" customWidth="1" min="4" max="4"/>
  </cols>
  <sheetData>
    <row r="1">
      <c r="A1" s="21" t="inlineStr">
        <is>
          <t>Assumptions (all costs in USD)</t>
        </is>
      </c>
    </row>
    <row r="3">
      <c r="A3" s="6" t="inlineStr">
        <is>
          <t>Parameter</t>
        </is>
      </c>
      <c r="B3" s="6" t="inlineStr">
        <is>
          <t>Value</t>
        </is>
      </c>
      <c r="C3" s="6" t="inlineStr">
        <is>
          <t>Unit</t>
        </is>
      </c>
      <c r="D3" s="6" t="inlineStr">
        <is>
          <t>Source / note</t>
        </is>
      </c>
    </row>
    <row r="4">
      <c r="A4" s="11" t="inlineStr">
        <is>
          <t>Economic method (reference papers)</t>
        </is>
      </c>
    </row>
    <row r="5">
      <c r="A5" s="7" t="inlineStr">
        <is>
          <t>Calendar hours per year</t>
        </is>
      </c>
      <c r="B5" s="27" t="n">
        <v>8760</v>
      </c>
      <c r="C5" s="7" t="inlineStr">
        <is>
          <t>h/yr</t>
        </is>
      </c>
      <c r="D5" s="9" t="inlineStr">
        <is>
          <t>Definition</t>
        </is>
      </c>
    </row>
    <row r="6">
      <c r="A6" s="7" t="inlineStr">
        <is>
          <t>Capacity factor, steady state (year 3+)</t>
        </is>
      </c>
      <c r="B6" s="28" t="n">
        <v>0.85</v>
      </c>
      <c r="C6" s="7" t="inlineStr">
        <is>
          <t>-</t>
        </is>
      </c>
      <c r="D6" s="9" t="inlineStr">
        <is>
          <t>Plant start-up factor Year 2+ = 0.85 [1] Table 5, [2] Table 6</t>
        </is>
      </c>
    </row>
    <row r="7">
      <c r="A7" s="7" t="inlineStr">
        <is>
          <t>Start-up factor, operating year 1</t>
        </is>
      </c>
      <c r="B7" s="28" t="n">
        <v>0.7</v>
      </c>
      <c r="C7" s="7" t="inlineStr">
        <is>
          <t>-</t>
        </is>
      </c>
      <c r="D7" s="9" t="inlineStr">
        <is>
          <t>[1] Table 5, [2] Table 6</t>
        </is>
      </c>
    </row>
    <row r="8">
      <c r="A8" s="7" t="inlineStr">
        <is>
          <t>Start-up factor, operating year 2</t>
        </is>
      </c>
      <c r="B8" s="28" t="n">
        <v>0.8</v>
      </c>
      <c r="C8" s="7" t="inlineStr">
        <is>
          <t>-</t>
        </is>
      </c>
      <c r="D8" s="9" t="inlineStr">
        <is>
          <t>[1] Table 5, [2] Table 6</t>
        </is>
      </c>
    </row>
    <row r="9">
      <c r="A9" s="7" t="inlineStr">
        <is>
          <t>Plant life</t>
        </is>
      </c>
      <c r="B9" s="27" t="n">
        <v>20</v>
      </c>
      <c r="C9" s="7" t="inlineStr">
        <is>
          <t>yr</t>
        </is>
      </c>
      <c r="D9" s="9" t="inlineStr">
        <is>
          <t>[1] Table 5, [2] Table 6</t>
        </is>
      </c>
    </row>
    <row r="10">
      <c r="A10" s="7" t="inlineStr">
        <is>
          <t>IRR / discount rate</t>
        </is>
      </c>
      <c r="B10" s="29" t="n">
        <v>0.1</v>
      </c>
      <c r="C10" s="7" t="inlineStr">
        <is>
          <t>-</t>
        </is>
      </c>
      <c r="D10" s="9" t="inlineStr">
        <is>
          <t>[1] Table 5, [2] Table 6</t>
        </is>
      </c>
    </row>
    <row r="11">
      <c r="A11" s="7" t="inlineStr">
        <is>
          <t>Construction spend, year -3</t>
        </is>
      </c>
      <c r="B11" s="29" t="n">
        <v>0.2</v>
      </c>
      <c r="C11" s="7" t="inlineStr">
        <is>
          <t>-</t>
        </is>
      </c>
      <c r="D11" s="9" t="inlineStr">
        <is>
          <t>[2] Table 6 (spread of construction cost)</t>
        </is>
      </c>
    </row>
    <row r="12">
      <c r="A12" s="7" t="inlineStr">
        <is>
          <t>Construction spend, year -2</t>
        </is>
      </c>
      <c r="B12" s="29" t="n">
        <v>0.35</v>
      </c>
      <c r="C12" s="7" t="inlineStr">
        <is>
          <t>-</t>
        </is>
      </c>
      <c r="D12" s="9" t="inlineStr">
        <is>
          <t>[2] Table 6</t>
        </is>
      </c>
    </row>
    <row r="13">
      <c r="A13" s="7" t="inlineStr">
        <is>
          <t>Construction spend, year -1</t>
        </is>
      </c>
      <c r="B13" s="29" t="n">
        <v>0.45</v>
      </c>
      <c r="C13" s="7" t="inlineStr">
        <is>
          <t>-</t>
        </is>
      </c>
      <c r="D13" s="9" t="inlineStr">
        <is>
          <t>[2] Table 6 (remainder; [1] text lists 20/45/35 %, the table order is ambiguous in the PDF)</t>
        </is>
      </c>
    </row>
    <row r="14">
      <c r="A14" s="7" t="inlineStr">
        <is>
          <t>Escalation: project capital</t>
        </is>
      </c>
      <c r="B14" s="29" t="n">
        <v>0.05</v>
      </c>
      <c r="C14" s="7" t="inlineStr">
        <is>
          <t>-</t>
        </is>
      </c>
      <c r="D14" s="9" t="inlineStr">
        <is>
          <t>[2] Table 6</t>
        </is>
      </c>
    </row>
    <row r="15">
      <c r="A15" s="7" t="inlineStr">
        <is>
          <t>Escalation: products (H2, by-products)</t>
        </is>
      </c>
      <c r="B15" s="29" t="n">
        <v>0.05</v>
      </c>
      <c r="C15" s="7" t="inlineStr">
        <is>
          <t>-</t>
        </is>
      </c>
      <c r="D15" s="9" t="inlineStr">
        <is>
          <t>[1] Table 5, [2] Table 6</t>
        </is>
      </c>
    </row>
    <row r="16">
      <c r="A16" s="7" t="inlineStr">
        <is>
          <t>Escalation: raw materials</t>
        </is>
      </c>
      <c r="B16" s="29" t="n">
        <v>0.035</v>
      </c>
      <c r="C16" s="7" t="inlineStr">
        <is>
          <t>-</t>
        </is>
      </c>
      <c r="D16" s="9" t="inlineStr">
        <is>
          <t>[1] Table 5, [2] Table 6</t>
        </is>
      </c>
    </row>
    <row r="17">
      <c r="A17" s="7" t="inlineStr">
        <is>
          <t>Escalation: operating &amp; maintenance labour</t>
        </is>
      </c>
      <c r="B17" s="29" t="n">
        <v>0.03</v>
      </c>
      <c r="C17" s="7" t="inlineStr">
        <is>
          <t>-</t>
        </is>
      </c>
      <c r="D17" s="9" t="inlineStr">
        <is>
          <t>[1] Table 5, [2] Table 6</t>
        </is>
      </c>
    </row>
    <row r="18">
      <c r="A18" s="7" t="inlineStr">
        <is>
          <t>Escalation: utilities</t>
        </is>
      </c>
      <c r="B18" s="29" t="n">
        <v>0.03</v>
      </c>
      <c r="C18" s="7" t="inlineStr">
        <is>
          <t>-</t>
        </is>
      </c>
      <c r="D18" s="9" t="inlineStr">
        <is>
          <t>[1] Table 5, [2] Table 6</t>
        </is>
      </c>
    </row>
    <row r="19">
      <c r="A19" s="7" t="inlineStr">
        <is>
          <t>Escalation: general &amp; administrative</t>
        </is>
      </c>
      <c r="B19" s="29" t="n">
        <v>0.035</v>
      </c>
      <c r="C19" s="7" t="inlineStr">
        <is>
          <t>-</t>
        </is>
      </c>
      <c r="D19" s="9" t="inlineStr">
        <is>
          <t>[1] Table 5, [2] Table 6</t>
        </is>
      </c>
    </row>
    <row r="20">
      <c r="A20" s="11" t="inlineStr">
        <is>
          <t>Capital-cost factors (Peters &amp; Timmerhaus, as used in [1] Table 4, [2] Table 5)</t>
        </is>
      </c>
    </row>
    <row r="21">
      <c r="A21" s="7" t="inlineStr">
        <is>
          <t>Total installed cost (TIC), x TPEC</t>
        </is>
      </c>
      <c r="B21" s="30" t="n">
        <v>3.02</v>
      </c>
      <c r="C21" s="7" t="inlineStr">
        <is>
          <t>-</t>
        </is>
      </c>
      <c r="D21" s="9" t="inlineStr">
        <is>
          <t>[1] Table 4, [2] Table 5: TIC = 302 % TPEC</t>
        </is>
      </c>
    </row>
    <row r="22">
      <c r="A22" s="7" t="inlineStr">
        <is>
          <t>Indirect cost (IC), x TPEC</t>
        </is>
      </c>
      <c r="B22" s="29" t="n">
        <v>0.89</v>
      </c>
      <c r="C22" s="7" t="inlineStr">
        <is>
          <t>-</t>
        </is>
      </c>
      <c r="D22" s="9" t="inlineStr">
        <is>
          <t>[1] Table 4, [2] Table 5: IC = 89 % TPEC</t>
        </is>
      </c>
    </row>
    <row r="23">
      <c r="A23" s="7" t="inlineStr">
        <is>
          <t>Contingency, x (TIC + IC)</t>
        </is>
      </c>
      <c r="B23" s="29" t="n">
        <v>0.2</v>
      </c>
      <c r="C23" s="7" t="inlineStr">
        <is>
          <t>-</t>
        </is>
      </c>
      <c r="D23" s="9" t="inlineStr">
        <is>
          <t>[1] Table 4, [2] Table 5</t>
        </is>
      </c>
    </row>
    <row r="24">
      <c r="A24" s="7" t="inlineStr">
        <is>
          <t>Location factor, x FCI</t>
        </is>
      </c>
      <c r="B24" s="29" t="n">
        <v>0.1</v>
      </c>
      <c r="C24" s="7" t="inlineStr">
        <is>
          <t>-</t>
        </is>
      </c>
      <c r="D24" s="9" t="inlineStr">
        <is>
          <t>[1] Table 4, [2] Table 5</t>
        </is>
      </c>
    </row>
    <row r="25">
      <c r="A25" s="11" t="inlineStr">
        <is>
          <t>Operating-cost factors ([1] Table 5)</t>
        </is>
      </c>
    </row>
    <row r="26">
      <c r="A26" s="7" t="inlineStr">
        <is>
          <t>Maintenance, x TPI</t>
        </is>
      </c>
      <c r="B26" s="29" t="n">
        <v>0.03</v>
      </c>
      <c r="C26" s="7" t="inlineStr">
        <is>
          <t>-</t>
        </is>
      </c>
      <c r="D26" s="9" t="inlineStr">
        <is>
          <t>[1] Table 5: 3 % of TPI</t>
        </is>
      </c>
    </row>
    <row r="27">
      <c r="A27" s="7" t="inlineStr">
        <is>
          <t>Operating charges, x labour</t>
        </is>
      </c>
      <c r="B27" s="29" t="n">
        <v>0.25</v>
      </c>
      <c r="C27" s="7" t="inlineStr">
        <is>
          <t>-</t>
        </is>
      </c>
      <c r="D27" s="9" t="inlineStr">
        <is>
          <t>[1] Table 5</t>
        </is>
      </c>
    </row>
    <row r="28">
      <c r="A28" s="7" t="inlineStr">
        <is>
          <t>Plant overhead, x (labour + maintenance)</t>
        </is>
      </c>
      <c r="B28" s="29" t="n">
        <v>0.5</v>
      </c>
      <c r="C28" s="7" t="inlineStr">
        <is>
          <t>-</t>
        </is>
      </c>
      <c r="D28" s="9" t="inlineStr">
        <is>
          <t>[1] Table 5</t>
        </is>
      </c>
    </row>
    <row r="29">
      <c r="A29" s="7" t="inlineStr">
        <is>
          <t>General &amp; administrative, x total operating cost</t>
        </is>
      </c>
      <c r="B29" s="29" t="n">
        <v>0.08</v>
      </c>
      <c r="C29" s="7" t="inlineStr">
        <is>
          <t>-</t>
        </is>
      </c>
      <c r="D29" s="9" t="inlineStr">
        <is>
          <t>[1] Table 5</t>
        </is>
      </c>
    </row>
    <row r="30">
      <c r="A30" s="11" t="inlineStr">
        <is>
          <t>Prices</t>
        </is>
      </c>
    </row>
    <row r="31">
      <c r="A31" s="7" t="inlineStr">
        <is>
          <t>Electricity price</t>
        </is>
      </c>
      <c r="B31" s="31" t="n">
        <v>0.0813</v>
      </c>
      <c r="C31" s="7" t="inlineStr">
        <is>
          <t>$/kWh</t>
        </is>
      </c>
      <c r="D31" s="9" t="inlineStr">
        <is>
          <t>US EIA, Electric Power Annual 2024: average industrial price 8.13 c/kWh. (Papers: [1] 0.056, [2] 0.04 $/kWh)</t>
        </is>
      </c>
    </row>
    <row r="32">
      <c r="A32" s="7" t="inlineStr">
        <is>
          <t>Natural gas price, industrial</t>
        </is>
      </c>
      <c r="B32" s="32" t="n">
        <v>3.93</v>
      </c>
      <c r="C32" s="7" t="inlineStr">
        <is>
          <t>$/Mcf</t>
        </is>
      </c>
      <c r="D32" s="9" t="inlineStr">
        <is>
          <t>US EIA, Natural Gas Annual 2024: average price delivered to industrial consumers 3.93 $/thousand cubic feet</t>
        </is>
      </c>
    </row>
    <row r="33">
      <c r="A33" s="7" t="inlineStr">
        <is>
          <t>Natural gas heat content</t>
        </is>
      </c>
      <c r="B33" s="30" t="n">
        <v>1.036</v>
      </c>
      <c r="C33" s="7" t="inlineStr">
        <is>
          <t>MMBtu/Mcf</t>
        </is>
      </c>
      <c r="D33" s="9" t="inlineStr">
        <is>
          <t>US EIA approximate heat content of natural gas (about 1,036 Btu per cubic foot)</t>
        </is>
      </c>
    </row>
    <row r="34">
      <c r="A34" s="7" t="inlineStr">
        <is>
          <t>Natural gas price (heating fuel)</t>
        </is>
      </c>
      <c r="B34" s="33">
        <f>B32/(B33*1.055056)</f>
        <v/>
      </c>
      <c r="C34" s="7" t="inlineStr">
        <is>
          <t>$/GJ</t>
        </is>
      </c>
      <c r="D34" s="9" t="inlineStr">
        <is>
          <t>Formula: $/Mcf / (MMBtu/Mcf x 1.055056 GJ/MMBtu)</t>
        </is>
      </c>
    </row>
    <row r="35">
      <c r="A35" s="7" t="inlineStr">
        <is>
          <t>Low-temperature heater efficiency (digester heating)</t>
        </is>
      </c>
      <c r="B35" s="34" t="n">
        <v>0.85</v>
      </c>
      <c r="C35" s="7" t="inlineStr">
        <is>
          <t>-</t>
        </is>
      </c>
      <c r="D35" s="9" t="inlineStr">
        <is>
          <t>ASSUMPTION</t>
        </is>
      </c>
    </row>
    <row r="36">
      <c r="A36" s="7" t="inlineStr">
        <is>
          <t>High-temperature fired heater efficiency (790 C heating, pyrolysis)</t>
        </is>
      </c>
      <c r="B36" s="34" t="n">
        <v>0.8</v>
      </c>
      <c r="C36" s="7" t="inlineStr">
        <is>
          <t>-</t>
        </is>
      </c>
      <c r="D36" s="9" t="inlineStr">
        <is>
          <t>ASSUMPTION</t>
        </is>
      </c>
    </row>
    <row r="37">
      <c r="A37" s="7" t="inlineStr">
        <is>
          <t>Cooling water cost</t>
        </is>
      </c>
      <c r="B37" s="35" t="n">
        <v>0.35</v>
      </c>
      <c r="C37" s="7" t="inlineStr">
        <is>
          <t>$/GJ removed</t>
        </is>
      </c>
      <c r="D37" s="9" t="inlineStr">
        <is>
          <t>ASSUMPTION</t>
        </is>
      </c>
    </row>
    <row r="38">
      <c r="A38" s="7" t="inlineStr">
        <is>
          <t>Process water price</t>
        </is>
      </c>
      <c r="B38" s="35" t="n">
        <v>0.5</v>
      </c>
      <c r="C38" s="7" t="inlineStr">
        <is>
          <t>$/m3</t>
        </is>
      </c>
      <c r="D38" s="9" t="inlineStr">
        <is>
          <t>ASSUMPTION</t>
        </is>
      </c>
    </row>
    <row r="39">
      <c r="A39" s="7" t="inlineStr">
        <is>
          <t>Biomass feed cost (wet)</t>
        </is>
      </c>
      <c r="B39" s="35" t="n">
        <v>0</v>
      </c>
      <c r="C39" s="7" t="inlineStr">
        <is>
          <t>$/t</t>
        </is>
      </c>
      <c r="D39" s="9" t="inlineStr">
        <is>
          <t>ASSUMPTION: organic waste at zero cost. [2] used 48 $/t delivered forest biomass (different feed).</t>
        </is>
      </c>
    </row>
    <row r="40">
      <c r="A40" s="7" t="inlineStr">
        <is>
          <t>Specific electricity of membrane upgrading (incl. pretreatment)</t>
        </is>
      </c>
      <c r="B40" s="30" t="n">
        <v>0.2</v>
      </c>
      <c r="C40" s="7" t="inlineStr">
        <is>
          <t>kWh/Nm3</t>
        </is>
      </c>
      <c r="D40" s="9" t="inlineStr">
        <is>
          <t>IEA Task 44 (2025) p. 24: 0.2-0.38 kWh/Nm3 (lower end used). The model's compressors alone use about 0.11 kWh/Nm3</t>
        </is>
      </c>
    </row>
    <row r="41">
      <c r="A41" s="7" t="inlineStr">
        <is>
          <t>Digester mixing and pumps allowance</t>
        </is>
      </c>
      <c r="B41" s="36" t="n">
        <v>2</v>
      </c>
      <c r="C41" s="7" t="inlineStr">
        <is>
          <t>kW</t>
        </is>
      </c>
      <c r="D41" s="9" t="inlineStr">
        <is>
          <t>ASSUMPTION allowance (not in the Aspen model)</t>
        </is>
      </c>
    </row>
    <row r="42">
      <c r="A42" s="7" t="inlineStr">
        <is>
          <t>Pyrolysis catalyst price</t>
        </is>
      </c>
      <c r="B42" s="35" t="n">
        <v>40</v>
      </c>
      <c r="C42" s="7" t="inlineStr">
        <is>
          <t>$/kg</t>
        </is>
      </c>
      <c r="D42" s="9" t="inlineStr">
        <is>
          <t>ASSUMPTION</t>
        </is>
      </c>
    </row>
    <row r="43">
      <c r="A43" s="7" t="inlineStr">
        <is>
          <t>Catalyst charges replaced per year</t>
        </is>
      </c>
      <c r="B43" s="37" t="n">
        <v>1</v>
      </c>
      <c r="C43" s="7" t="inlineStr">
        <is>
          <t>1/yr</t>
        </is>
      </c>
      <c r="D43" s="9" t="inlineStr">
        <is>
          <t>ASSUMPTION (carbon deposition deactivates CH4-cracking catalysts)</t>
        </is>
      </c>
    </row>
    <row r="44">
      <c r="A44" s="7" t="inlineStr">
        <is>
          <t>Zeolite membrane price (module)</t>
        </is>
      </c>
      <c r="B44" s="38" t="n">
        <v>2000</v>
      </c>
      <c r="C44" s="7" t="inlineStr">
        <is>
          <t>$/m2</t>
        </is>
      </c>
      <c r="D44" s="9" t="inlineStr">
        <is>
          <t>Literature: inorganic membranes 1,000-5,000 EUR/m2; zeolite multistage biogas schemes economic up to about 2,000 $/m2 (Chem. Eng. Res. Des. 2024, doi via sciencedirect S0263876224003162). Very uncertain</t>
        </is>
      </c>
    </row>
    <row r="45">
      <c r="A45" s="7" t="inlineStr">
        <is>
          <t>Polymer membrane price (module), already in the IEA upgrading cost</t>
        </is>
      </c>
      <c r="B45" s="32" t="n">
        <v>100</v>
      </c>
      <c r="C45" s="7" t="inlineStr">
        <is>
          <t>$/m2</t>
        </is>
      </c>
      <c r="D45" s="9" t="inlineStr">
        <is>
          <t>About 100 $/m2 for industrial polymeric modules (as reported in zeolite-membrane cost literature, e.g. Ind. Eng. Chem. Res. 2023, 10.1021/acs.iecr.3c02016)</t>
        </is>
      </c>
    </row>
    <row r="46">
      <c r="A46" s="7" t="inlineStr">
        <is>
          <t>Membrane life</t>
        </is>
      </c>
      <c r="B46" s="27" t="n">
        <v>5</v>
      </c>
      <c r="C46" s="7" t="inlineStr">
        <is>
          <t>yr</t>
        </is>
      </c>
      <c r="D46" s="9" t="inlineStr">
        <is>
          <t>IEA Task 44 (2025) p. 24: membranes replaced every 5-10 years (5 used)</t>
        </is>
      </c>
    </row>
    <row r="47">
      <c r="A47" s="7" t="inlineStr">
        <is>
          <t>Operators (full-time equivalents)</t>
        </is>
      </c>
      <c r="B47" s="37" t="n">
        <v>2</v>
      </c>
      <c r="C47" s="7" t="inlineStr">
        <is>
          <t>FTE</t>
        </is>
      </c>
      <c r="D47" s="9" t="inlineStr">
        <is>
          <t>ASSUMPTION for a small plant ([1] used 13 staff for a 2000 t/d plant)</t>
        </is>
      </c>
    </row>
    <row r="48">
      <c r="A48" s="7" t="inlineStr">
        <is>
          <t>Salary per FTE</t>
        </is>
      </c>
      <c r="B48" s="38" t="n">
        <v>80030</v>
      </c>
      <c r="C48" s="7" t="inlineStr">
        <is>
          <t>$/yr</t>
        </is>
      </c>
      <c r="D48" s="9" t="inlineStr">
        <is>
          <t>US BLS OEWS May 2024, SOC 51-8091 Chemical Plant and System Operators, median annual wage $80,030</t>
        </is>
      </c>
    </row>
    <row r="49">
      <c r="A49" s="7" t="inlineStr">
        <is>
          <t>Solid carbon credit</t>
        </is>
      </c>
      <c r="B49" s="32" t="n">
        <v>100</v>
      </c>
      <c r="C49" s="7" t="inlineStr">
        <is>
          <t>$/t</t>
        </is>
      </c>
      <c r="D49" s="9" t="inlineStr">
        <is>
          <t>[1] section 3.2: biochar at 100 $/t (conservative). Carbon black sold at about 1,040-1,820 $/t in 2024 (ChemAnalyst / price reports); catalyst-laden carbon from this process may need purification first</t>
        </is>
      </c>
    </row>
    <row r="50">
      <c r="A50" s="7" t="inlineStr">
        <is>
          <t>Digestate credit</t>
        </is>
      </c>
      <c r="B50" s="35" t="n">
        <v>0</v>
      </c>
      <c r="C50" s="7" t="inlineStr">
        <is>
          <t>$/t</t>
        </is>
      </c>
      <c r="D50" s="9" t="inlineStr">
        <is>
          <t>ASSUMPTION (no value taken)</t>
        </is>
      </c>
    </row>
    <row r="51">
      <c r="A51" s="7" t="inlineStr">
        <is>
          <t>Hydrogen LHV</t>
        </is>
      </c>
      <c r="B51" s="27" t="n">
        <v>120</v>
      </c>
      <c r="C51" s="7" t="inlineStr">
        <is>
          <t>MJ/kg</t>
        </is>
      </c>
      <c r="D51" s="9" t="inlineStr">
        <is>
          <t>Standard value (119.96 MJ/kg)</t>
        </is>
      </c>
    </row>
    <row r="52">
      <c r="A52" s="11" t="inlineStr">
        <is>
          <t>Cost basis: indices, exchange rates, sizing</t>
        </is>
      </c>
    </row>
    <row r="53">
      <c r="A53" s="7" t="inlineStr">
        <is>
          <t>CEPCI 2024 (target year)</t>
        </is>
      </c>
      <c r="B53" s="39" t="n">
        <v>800</v>
      </c>
      <c r="C53" s="7" t="inlineStr">
        <is>
          <t>-</t>
        </is>
      </c>
      <c r="D53" s="9" t="inlineStr">
        <is>
          <t>Chemical Engineering magazine: 2024 monthly CEPCI 795.4 (Jan) to 800.2 (May); about 800</t>
        </is>
      </c>
    </row>
    <row r="54">
      <c r="A54" s="7" t="inlineStr">
        <is>
          <t>CEPCI 2014</t>
        </is>
      </c>
      <c r="B54" s="39" t="n">
        <v>576.1</v>
      </c>
      <c r="C54" s="7" t="inlineStr">
        <is>
          <t>-</t>
        </is>
      </c>
      <c r="D54" s="9" t="inlineStr">
        <is>
          <t>Chemical Engineering magazine: 2014 annual CEPCI 576.1</t>
        </is>
      </c>
    </row>
    <row r="55">
      <c r="A55" s="7" t="inlineStr">
        <is>
          <t>CEPCI Jan 2010 (Towler &amp; Sinnott basis)</t>
        </is>
      </c>
      <c r="B55" s="39" t="n">
        <v>532.9</v>
      </c>
      <c r="C55" s="7" t="inlineStr">
        <is>
          <t>-</t>
        </is>
      </c>
      <c r="D55" s="9" t="inlineStr">
        <is>
          <t>Towler &amp; Sinnott Table 7.2 note 7</t>
        </is>
      </c>
    </row>
    <row r="56">
      <c r="A56" s="7" t="inlineStr">
        <is>
          <t>CEPCI 2001 (Turton basis)</t>
        </is>
      </c>
      <c r="B56" s="39" t="n">
        <v>394.3</v>
      </c>
      <c r="C56" s="7" t="inlineStr">
        <is>
          <t>-</t>
        </is>
      </c>
      <c r="D56" s="9" t="inlineStr">
        <is>
          <t>Turton 5th ed. (via ChemEngDPpy capex.py)</t>
        </is>
      </c>
    </row>
    <row r="57">
      <c r="A57" s="7" t="inlineStr">
        <is>
          <t>USD per GBP (IEA Task 37 report basis)</t>
        </is>
      </c>
      <c r="B57" s="40" t="n">
        <v>1.61</v>
      </c>
      <c r="C57" s="7" t="inlineStr">
        <is>
          <t>$/GBP</t>
        </is>
      </c>
      <c r="D57" s="9" t="inlineStr">
        <is>
          <t>IEA Task 37 (2015) Appendix A, reference date 27 Oct 2014</t>
        </is>
      </c>
    </row>
    <row r="58">
      <c r="A58" s="7" t="inlineStr">
        <is>
          <t>USD per EUR (2024 average)</t>
        </is>
      </c>
      <c r="B58" s="40" t="n">
        <v>1.08238</v>
      </c>
      <c r="C58" s="7" t="inlineStr">
        <is>
          <t>$/EUR</t>
        </is>
      </c>
      <c r="D58" s="9" t="inlineStr">
        <is>
          <t>ECB reference rate, 2024 average</t>
        </is>
      </c>
    </row>
    <row r="59">
      <c r="A59" s="7" t="inlineStr">
        <is>
          <t>AD plant capital cost, median for plants &lt; 250 kWe</t>
        </is>
      </c>
      <c r="B59" s="27" t="n">
        <v>3223</v>
      </c>
      <c r="C59" s="7" t="inlineStr">
        <is>
          <t>GBP/kWe</t>
        </is>
      </c>
      <c r="D59" s="9" t="inlineStr">
        <is>
          <t>IEA Task 37 (2015) section 5.1.1: median of Austrian and German plants smaller than 250 kWe (civil works, tanks, mechanical and electrical, CHP)</t>
        </is>
      </c>
    </row>
    <row r="60">
      <c r="A60" s="7" t="inlineStr">
        <is>
          <t>Share of AD capital that is CHP (excluded here)</t>
        </is>
      </c>
      <c r="B60" s="29" t="n">
        <v>0.06</v>
      </c>
      <c r="C60" s="7" t="inlineStr">
        <is>
          <t>-</t>
        </is>
      </c>
      <c r="D60" s="9" t="inlineStr">
        <is>
          <t>IEA Task 37 (2015) section 5.1: 6 % gas-use technology (CHP)</t>
        </is>
      </c>
    </row>
    <row r="61">
      <c r="A61" s="7" t="inlineStr">
        <is>
          <t>CHP electrical efficiency (to express the plant in kWe)</t>
        </is>
      </c>
      <c r="B61" s="41" t="n">
        <v>0.38</v>
      </c>
      <c r="C61" s="7" t="inlineStr">
        <is>
          <t>-</t>
        </is>
      </c>
      <c r="D61" s="9" t="inlineStr">
        <is>
          <t>ASSUMPTION: typical biogas engine 35-40 %</t>
        </is>
      </c>
    </row>
    <row r="62">
      <c r="A62" s="7" t="inlineStr">
        <is>
          <t>Membrane upgrading investment at reference size</t>
        </is>
      </c>
      <c r="B62" s="27" t="n">
        <v>6000</v>
      </c>
      <c r="C62" s="7" t="inlineStr">
        <is>
          <t>EUR/(Nm3/h)</t>
        </is>
      </c>
      <c r="D62" s="9" t="inlineStr">
        <is>
          <t>IEA Task 44 (2025) p. 24: 2,500-6,000 EUR per Nm3/h for 100-400 Nm3/h (upper end used: our unit is smaller)</t>
        </is>
      </c>
    </row>
    <row r="63">
      <c r="A63" s="7" t="inlineStr">
        <is>
          <t>Reference upgrading capacity</t>
        </is>
      </c>
      <c r="B63" s="27" t="n">
        <v>100</v>
      </c>
      <c r="C63" s="7" t="inlineStr">
        <is>
          <t>Nm3/h</t>
        </is>
      </c>
      <c r="D63" s="9" t="inlineStr">
        <is>
          <t>IEA Task 44 (2025) p. 24 (lower end of the quoted range)</t>
        </is>
      </c>
    </row>
    <row r="64">
      <c r="A64" s="7" t="inlineStr">
        <is>
          <t>Capacity exponent for scaling</t>
        </is>
      </c>
      <c r="B64" s="28" t="n">
        <v>0.6</v>
      </c>
      <c r="C64" s="7" t="inlineStr">
        <is>
          <t>-</t>
        </is>
      </c>
      <c r="D64" s="9" t="inlineStr">
        <is>
          <t>Six-tenths rule, Perry Handbook 8th ed. Eq. 9-1 (exponent 0.4-0.9, average about 0.6)</t>
        </is>
      </c>
    </row>
    <row r="65">
      <c r="A65" s="7" t="inlineStr">
        <is>
          <t>Owner costs on turnkey items (feasibility, permits, licences)</t>
        </is>
      </c>
      <c r="B65" s="29" t="n">
        <v>0.125</v>
      </c>
      <c r="C65" s="7" t="inlineStr">
        <is>
          <t>-</t>
        </is>
      </c>
      <c r="D65" s="9" t="inlineStr">
        <is>
          <t>IEA Task 37 (2015) section 5.1: typically add 10-15 % to the contractor tender</t>
        </is>
      </c>
    </row>
    <row r="66">
      <c r="A66" s="7" t="inlineStr">
        <is>
          <t>Product gas cooler area (assumed)</t>
        </is>
      </c>
      <c r="B66" s="34" t="n">
        <v>2</v>
      </c>
      <c r="C66" s="7" t="inlineStr">
        <is>
          <t>m2</t>
        </is>
      </c>
      <c r="D66" s="9" t="inlineStr">
        <is>
          <t>ASSUMPTION (about 19 kW, gas-side U about 50 W/m2K)</t>
        </is>
      </c>
    </row>
    <row r="67">
      <c r="A67" s="7" t="inlineStr">
        <is>
          <t>Material factor, nickel/Inconel vs carbon steel (Towler &amp; Sinnott)</t>
        </is>
      </c>
      <c r="B67" s="28" t="n">
        <v>1.7</v>
      </c>
      <c r="C67" s="7" t="inlineStr">
        <is>
          <t>-</t>
        </is>
      </c>
      <c r="D67" s="9" t="inlineStr">
        <is>
          <t>Towler &amp; Sinnott Table 7.6: Nickel and Inconel 1.7</t>
        </is>
      </c>
    </row>
    <row r="68">
      <c r="A68" s="7" t="inlineStr">
        <is>
          <t>Material factor, nickel-alloy vessel (Turton)</t>
        </is>
      </c>
      <c r="B68" s="28" t="n">
        <v>7.1</v>
      </c>
      <c r="C68" s="7" t="inlineStr">
        <is>
          <t>-</t>
        </is>
      </c>
      <c r="D68" s="9" t="inlineStr">
        <is>
          <t>Turton 5th ed. vessel material factor, Ni alloy 7.1 (via ChemEngDPpy)</t>
        </is>
      </c>
    </row>
    <row r="69">
      <c r="A69" s="11" t="inlineStr">
        <is>
          <t>LCA factors</t>
        </is>
      </c>
    </row>
    <row r="70">
      <c r="A70" s="7" t="inlineStr">
        <is>
          <t>Grid electricity emission factor</t>
        </is>
      </c>
      <c r="B70" s="36" t="n">
        <v>0.3733</v>
      </c>
      <c r="C70" s="7" t="inlineStr">
        <is>
          <t>kg CO2/kWh</t>
        </is>
      </c>
      <c r="D70" s="9" t="inlineStr">
        <is>
          <t>US EPA eGRID2022 national total output CO2 rate 823.1 lb/MWh (via EPA GHG Equivalencies Calculator). Replace with your local grid</t>
        </is>
      </c>
    </row>
    <row r="71">
      <c r="A71" s="7" t="inlineStr">
        <is>
          <t>Fossil primary energy per unit of electricity</t>
        </is>
      </c>
      <c r="B71" s="36" t="n">
        <v>2.5</v>
      </c>
      <c r="C71" s="7" t="inlineStr">
        <is>
          <t>MJ/MJ</t>
        </is>
      </c>
      <c r="D71" s="9" t="inlineStr">
        <is>
          <t>ASSUMPTION: fossil-heavy grid (about 40 % efficiency)</t>
        </is>
      </c>
    </row>
    <row r="72">
      <c r="A72" s="7" t="inlineStr">
        <is>
          <t>Natural gas combustion emission factor</t>
        </is>
      </c>
      <c r="B72" s="30" t="n">
        <v>56.1</v>
      </c>
      <c r="C72" s="7" t="inlineStr">
        <is>
          <t>kg CO2/GJ</t>
        </is>
      </c>
      <c r="D72" s="9" t="inlineStr">
        <is>
          <t>IPCC 2006 Guidelines Vol. 2 Table 2.2 (56,100 kg/TJ)</t>
        </is>
      </c>
    </row>
    <row r="73">
      <c r="A73" s="7" t="inlineStr">
        <is>
          <t>Natural gas upstream emissions</t>
        </is>
      </c>
      <c r="B73" s="37" t="n">
        <v>10</v>
      </c>
      <c r="C73" s="7" t="inlineStr">
        <is>
          <t>kg CO2e/GJ</t>
        </is>
      </c>
      <c r="D73" s="9" t="inlineStr">
        <is>
          <t>ASSUMPTION</t>
        </is>
      </c>
    </row>
    <row r="74">
      <c r="A74" s="7" t="inlineStr">
        <is>
          <t>Count stored solid carbon as a CO2 credit (1 = yes, 0 = no)</t>
        </is>
      </c>
      <c r="B74" s="27" t="n">
        <v>0</v>
      </c>
      <c r="C74" s="7" t="inlineStr">
        <is>
          <t>-</t>
        </is>
      </c>
      <c r="D74" s="9" t="inlineStr">
        <is>
          <t>Choice: carbon is biogenic; credit only if it is stored permanently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showGridLines="0" workbookViewId="0">
      <selection activeCell="A1" sqref="A1"/>
    </sheetView>
  </sheetViews>
  <sheetFormatPr baseColWidth="8" defaultRowHeight="15"/>
  <cols>
    <col width="5" customWidth="1" min="1" max="1"/>
    <col width="46" customWidth="1" min="2" max="2"/>
    <col width="24" customWidth="1" min="3" max="3"/>
    <col width="14" customWidth="1" min="4" max="4"/>
    <col width="52" customWidth="1" min="5" max="5"/>
    <col width="16" customWidth="1" min="6" max="6"/>
    <col width="80" customWidth="1" min="7" max="7"/>
  </cols>
  <sheetData>
    <row r="1">
      <c r="A1" s="21" t="inlineStr">
        <is>
          <t>Capital cost (USD, 2024 basis)</t>
        </is>
      </c>
    </row>
    <row r="2">
      <c r="A2" s="5" t="inlineStr">
        <is>
          <t>Two kinds of items: TURNKEY (installed) costs from IEA Bioenergy data, and PURCHASED equipment costs from textbook correlations, to which the reference papers' installation and indirect factors are applied.</t>
        </is>
      </c>
    </row>
    <row r="4">
      <c r="A4" s="6" t="inlineStr">
        <is>
          <t>#</t>
        </is>
      </c>
      <c r="B4" s="6" t="inlineStr">
        <is>
          <t>Item</t>
        </is>
      </c>
      <c r="C4" s="6" t="inlineStr">
        <is>
          <t>Aspen blocks covered</t>
        </is>
      </c>
      <c r="D4" s="6" t="inlineStr">
        <is>
          <t>Cost type</t>
        </is>
      </c>
      <c r="E4" s="6" t="inlineStr">
        <is>
          <t>Basis (formula inputs)</t>
        </is>
      </c>
      <c r="F4" s="6" t="inlineStr">
        <is>
          <t>Cost 2024 (USD)</t>
        </is>
      </c>
      <c r="G4" s="6" t="inlineStr">
        <is>
          <t>Source / note</t>
        </is>
      </c>
    </row>
    <row r="5">
      <c r="A5" s="7" t="n">
        <v>1</v>
      </c>
      <c r="B5" s="9" t="inlineStr">
        <is>
          <t>Anaerobic digestion plant (feed tank, hydrolysis, digester, digestate storage, heating)</t>
        </is>
      </c>
      <c r="C5" s="9" t="inlineStr">
        <is>
          <t>MIX1, RSTOIC, B1</t>
        </is>
      </c>
      <c r="D5" s="7" t="inlineStr">
        <is>
          <t>Turnkey</t>
        </is>
      </c>
      <c r="E5" s="42">
        <f>TEXT(Process_Data!$B$10*Assumptions!$B$61,"0")&amp;" kWe-equiv. x "&amp;TEXT(Assumptions!$B$59,"#,##0")&amp;" GBP/kWe x (1-CHP share)"</f>
        <v/>
      </c>
      <c r="F5" s="10">
        <f>Process_Data!$B$10*Assumptions!$B$61*Assumptions!$B$59*(1-Assumptions!$B$60)*Assumptions!$B$57*Assumptions!$B$53/Assumptions!$B$54</f>
        <v/>
      </c>
      <c r="G5" s="9" t="inlineStr">
        <is>
          <t>IEA Bioenergy Task 37 (2015), Exploring the viability of small scale anaerobic digesters in livestock farming, ISBN 978-1-910154-25-0, section 5.1, Table 9, Appendix A. Median for plants &lt; 250 kWe; CHP share removed; converted at 1.61 $/GBP (Oct 2014) and CEPCI 2014 -&gt; 2024. Plant size expressed in kWe using the biogas methane energy and an assumed 38 % CHP efficiency.</t>
        </is>
      </c>
    </row>
    <row r="6">
      <c r="A6" s="7" t="n">
        <v>2</v>
      </c>
      <c r="B6" s="9" t="inlineStr">
        <is>
          <t>Biogas upgrading unit: chilling, H2S and moisture removal, 2-stage compression, coolers, membrane (polymer basis)</t>
        </is>
      </c>
      <c r="C6" s="9" t="inlineStr">
        <is>
          <t>FLASH, H2S-SEP, NH3SEP, COMP1, COOL1, COMP2, COOL2, MEMB1</t>
        </is>
      </c>
      <c r="D6" s="7" t="inlineStr">
        <is>
          <t>Turnkey</t>
        </is>
      </c>
      <c r="E6" s="42">
        <f>TEXT(Process_Data!$B$9,"0.0")&amp;" Nm3/h; "&amp;TEXT(Assumptions!$B$62,"#,##0")&amp;" EUR/(Nm3/h) at "&amp;TEXT(Assumptions!$B$63,"0")&amp;" Nm3/h, scaled with exponent "&amp;TEXT(Assumptions!$B$64,"0.0")</f>
        <v/>
      </c>
      <c r="F6" s="10">
        <f>Assumptions!$B$62*Assumptions!$B$63*(Process_Data!$B$9/Assumptions!$B$63)^Assumptions!$B$64*Assumptions!$B$58</f>
        <v/>
      </c>
      <c r="G6" s="9" t="inlineStr">
        <is>
          <t>IEA Bioenergy Task 44 (2025), Technologies for Flexible Bioenergy (Updated), p. 24 (biogas upgrading costs). Upper end of 2,500-6,000 EUR per Nm3/h (100-400 Nm3/h), scaled down with the six-tenths rule (Perry Eq. 9-1). Cross-check: IEA Task 37 (2015) quotes 233,000-361,000 GBP for 10-30 m3/h units, i.e. small units can cost more.</t>
        </is>
      </c>
    </row>
    <row r="7">
      <c r="A7" s="7" t="n">
        <v>3</v>
      </c>
      <c r="B7" s="9" t="inlineStr">
        <is>
          <t>Zeolite membrane premium over polymer membrane</t>
        </is>
      </c>
      <c r="C7" s="9" t="inlineStr">
        <is>
          <t>MEMB1</t>
        </is>
      </c>
      <c r="D7" s="7" t="inlineStr">
        <is>
          <t>Purchased</t>
        </is>
      </c>
      <c r="E7" s="42">
        <f>TEXT(Process_Data!$B$12,"0.0")&amp;" m2 x ("&amp;TEXT(Assumptions!$B$44,"#,##0")&amp;" - "&amp;TEXT(Assumptions!$B$45,"0")&amp;") $/m2"</f>
        <v/>
      </c>
      <c r="F7" s="10">
        <f>Process_Data!$B$12*(Assumptions!$B$44-Assumptions!$B$45)</f>
        <v/>
      </c>
      <c r="G7" s="9" t="inlineStr">
        <is>
          <t>The IEA upgrading cost assumes polymer membranes; this adds the extra cost of DDR zeolite modules (prices on Assumptions).</t>
        </is>
      </c>
    </row>
    <row r="8">
      <c r="A8" s="7" t="n">
        <v>4</v>
      </c>
      <c r="B8" s="9" t="inlineStr">
        <is>
          <t>Pyrolysis reactor tube, nickel alloy (2.12 m3)</t>
        </is>
      </c>
      <c r="C8" s="9" t="inlineStr">
        <is>
          <t>CH4PYRO</t>
        </is>
      </c>
      <c r="D8" s="7" t="inlineStr">
        <is>
          <t>Purchased</t>
        </is>
      </c>
      <c r="E8" s="42">
        <f>"Turton vertical vessel, V = 2.12 m3, Ni alloy Fm "&amp;TEXT(Assumptions!$B$68,"0.0")</f>
        <v/>
      </c>
      <c r="F8" s="10">
        <f>10^(3.4974+0.4485*LOG10(2.12)+0.1074*LOG10(2.12)^2)*Assumptions!$B$68*Assumptions!$B$53/Assumptions!$B$56</f>
        <v/>
      </c>
      <c r="G8" s="9" t="inlineStr">
        <is>
          <t>Turton et al., Analysis, Synthesis and Design of Chemical Processes, 5th ed., Appendix A (2001 basis, CEPCI 394.3), constants as coded in github.com/weepctxb/ChemEngDPpy capex.py: log10 Cp = 3.4974 + 0.4485 log10 V + 0.1074 (log10 V)^2 (V in m3, 0.3-520), times Ni-alloy factor 7.1, CEPCI 2001 -&gt; 2024. Cross-check: a 10 mm Inconel tube of this size costed by shell mass with Towler &amp; Sinnott gives about 128,000 $.</t>
        </is>
      </c>
    </row>
    <row r="9">
      <c r="A9" s="7" t="n">
        <v>5</v>
      </c>
      <c r="B9" s="9" t="inlineStr">
        <is>
          <t>Cylindrical fired furnace (heats feed to 790 C and supplies reactor heat)</t>
        </is>
      </c>
      <c r="C9" s="9" t="inlineStr">
        <is>
          <t>HEAT2, CH4PYRO</t>
        </is>
      </c>
      <c r="D9" s="7" t="inlineStr">
        <is>
          <t>Purchased</t>
        </is>
      </c>
      <c r="E9" s="42">
        <f>TEXT((Process_Data!$B$29+Process_Data!$B$32)/1000,"0.000")&amp;" MW duty"</f>
        <v/>
      </c>
      <c r="F9" s="10">
        <f>(80000+109000*((Process_Data!$B$29+Process_Data!$B$32)/1000)^0.8)*Assumptions!$B$53/Assumptions!$B$55</f>
        <v/>
      </c>
      <c r="G9" s="9" t="inlineStr">
        <is>
          <t>Towler &amp; Sinnott (2013), Chemical Engineering Design 2nd ed., Table 7.2 (US Gulf Coast, Jan 2010, CEPCI 532.9) and Table 7.6: cylindrical furnace Ce = 80,000 + 109,000 S^0.8 (S = duty in MW, valid 0.2-60 MW). Our duty (about 0.055 MW) is BELOW the valid range, so this is an extrapolation.</t>
        </is>
      </c>
    </row>
    <row r="10">
      <c r="A10" s="7" t="n">
        <v>6</v>
      </c>
      <c r="B10" s="9" t="inlineStr">
        <is>
          <t>Pyrolysis catalyst, initial charge</t>
        </is>
      </c>
      <c r="C10" s="9" t="inlineStr">
        <is>
          <t>CH4PYRO</t>
        </is>
      </c>
      <c r="D10" s="7" t="inlineStr">
        <is>
          <t>Purchased</t>
        </is>
      </c>
      <c r="E10" s="42">
        <f>TEXT(Process_Data!$B$23,"0.0")&amp;" kg x catalyst price"</f>
        <v/>
      </c>
      <c r="F10" s="10">
        <f>Process_Data!$B$23*Assumptions!$B$42</f>
        <v/>
      </c>
      <c r="G10" s="9" t="inlineStr">
        <is>
          <t>Catalyst price is an assumption (Assumptions sheet).</t>
        </is>
      </c>
    </row>
    <row r="11">
      <c r="A11" s="7" t="n">
        <v>7</v>
      </c>
      <c r="B11" s="9" t="inlineStr">
        <is>
          <t>Solid carbon separation (cyclone + filter)</t>
        </is>
      </c>
      <c r="C11" s="9" t="inlineStr">
        <is>
          <t>(FINPROD)</t>
        </is>
      </c>
      <c r="D11" s="7" t="inlineStr">
        <is>
          <t>Purchased</t>
        </is>
      </c>
      <c r="E11" s="42">
        <f>"about 15.5 kg/h carbon"</f>
        <v/>
      </c>
      <c r="F11" s="43" t="n">
        <v>30000</v>
      </c>
      <c r="G11" s="9" t="inlineStr">
        <is>
          <t>INDICATIVE ESTIMATE: no verified correlation found for this size. Replace with a vendor quote.</t>
        </is>
      </c>
    </row>
    <row r="12">
      <c r="A12" s="7" t="n">
        <v>8</v>
      </c>
      <c r="B12" s="9" t="inlineStr">
        <is>
          <t>Product gas cooler (790 C to ambient)</t>
        </is>
      </c>
      <c r="C12" s="9" t="inlineStr">
        <is>
          <t>(FINPROD)</t>
        </is>
      </c>
      <c r="D12" s="7" t="inlineStr">
        <is>
          <t>Purchased</t>
        </is>
      </c>
      <c r="E12" s="42">
        <f>TEXT(Assumptions!$B$66,"0.0")&amp;" m2 double-pipe exchanger"</f>
        <v/>
      </c>
      <c r="F12" s="10">
        <f>(1900+2500*Assumptions!$B$66)*Assumptions!$B$53/Assumptions!$B$55</f>
        <v/>
      </c>
      <c r="G12" s="9" t="inlineStr">
        <is>
          <t>Towler &amp; Sinnott (2013), Chemical Engineering Design 2nd ed., Table 7.2 (US Gulf Coast, Jan 2010, CEPCI 532.9) and Table 7.6: double pipe Ce = 1,900 + 2,500 A (A in m2, 1-80). Area is an assumption.</t>
        </is>
      </c>
    </row>
    <row r="14">
      <c r="B14" s="7" t="inlineStr">
        <is>
          <t>Turnkey (installed) items, subtotal</t>
        </is>
      </c>
      <c r="F14" s="44">
        <f>SUMIF(D5:D12,"Turnkey",F5:F12)</f>
        <v/>
      </c>
      <c r="G14" s="9" t="inlineStr">
        <is>
          <t>Already installed costs</t>
        </is>
      </c>
    </row>
    <row r="15">
      <c r="B15" s="7" t="inlineStr">
        <is>
          <t>Owner costs on turnkey items</t>
        </is>
      </c>
      <c r="F15" s="44">
        <f>F14*Assumptions!$B$65</f>
        <v/>
      </c>
      <c r="G15" s="9" t="inlineStr">
        <is>
          <t>IEA Task 37 (2015): +10-15 %</t>
        </is>
      </c>
    </row>
    <row r="16">
      <c r="B16" s="11" t="inlineStr">
        <is>
          <t>Total purchased equipment cost (TPEC), purchased items</t>
        </is>
      </c>
      <c r="F16" s="19">
        <f>SUMIF(D5:D12,"Purchased",F5:F12)</f>
        <v/>
      </c>
      <c r="G16" s="9" t="inlineStr">
        <is>
          <t>Purchased-cost items only</t>
        </is>
      </c>
    </row>
    <row r="17">
      <c r="B17" s="7" t="inlineStr">
        <is>
          <t>Total installed cost of purchased items (TIC)</t>
        </is>
      </c>
      <c r="F17" s="44">
        <f>F16*Assumptions!$B$21</f>
        <v/>
      </c>
      <c r="G17" s="9" t="inlineStr">
        <is>
          <t>TIC = 302 % TPEC ([1] Table 4, [2] Table 5)</t>
        </is>
      </c>
    </row>
    <row r="18">
      <c r="B18" s="7" t="inlineStr">
        <is>
          <t>Indirect cost of purchased items (IC)</t>
        </is>
      </c>
      <c r="F18" s="44">
        <f>F16*Assumptions!$B$22</f>
        <v/>
      </c>
      <c r="G18" s="9" t="inlineStr">
        <is>
          <t>IC = 89 % TPEC</t>
        </is>
      </c>
    </row>
    <row r="19">
      <c r="B19" s="7" t="inlineStr">
        <is>
          <t>Total direct and indirect cost (TDIC)</t>
        </is>
      </c>
      <c r="F19" s="44">
        <f>F14+F15+F17+F18</f>
        <v/>
      </c>
      <c r="G19" s="9" t="inlineStr">
        <is>
          <t>Turnkey + owner costs + TIC + IC</t>
        </is>
      </c>
    </row>
    <row r="20">
      <c r="B20" s="7" t="inlineStr">
        <is>
          <t>Contingency</t>
        </is>
      </c>
      <c r="F20" s="44">
        <f>F19*Assumptions!$B$23</f>
        <v/>
      </c>
      <c r="G20" s="9" t="inlineStr">
        <is>
          <t>20 % of TDIC</t>
        </is>
      </c>
    </row>
    <row r="21">
      <c r="B21" s="7" t="inlineStr">
        <is>
          <t>Fixed capital investment (FCI)</t>
        </is>
      </c>
      <c r="F21" s="44">
        <f>F19+F20</f>
        <v/>
      </c>
      <c r="G21" s="9" t="inlineStr">
        <is>
          <t>TDIC + contingency</t>
        </is>
      </c>
    </row>
    <row r="22">
      <c r="B22" s="7" t="inlineStr">
        <is>
          <t>Location factor</t>
        </is>
      </c>
      <c r="F22" s="44">
        <f>F21*Assumptions!$B$24</f>
        <v/>
      </c>
      <c r="G22" s="9" t="inlineStr">
        <is>
          <t>10 % of FCI</t>
        </is>
      </c>
    </row>
    <row r="23">
      <c r="B23" s="11" t="inlineStr">
        <is>
          <t>Total project investment (TPI)</t>
        </is>
      </c>
      <c r="F23" s="19">
        <f>F21+F22</f>
        <v/>
      </c>
      <c r="G23" s="9" t="inlineStr">
        <is>
          <t>FCI + location factor</t>
        </is>
      </c>
    </row>
    <row r="24">
      <c r="B24" s="7" t="inlineStr">
        <is>
          <t>Share of TPI from turnkey items (sourced from IEA data)</t>
        </is>
      </c>
      <c r="F24" s="18">
        <f>(F14+F15)*(1+Assumptions!$B$23)*(1+Assumptions!$B$24)/F23</f>
        <v/>
      </c>
      <c r="G24" s="9" t="inlineStr">
        <is>
          <t>How much of the investment rests on the IEA cost data</t>
        </is>
      </c>
    </row>
    <row r="25">
      <c r="B25" s="7" t="inlineStr">
        <is>
          <t>Share of TPI resting on indicative (unsourced) estimates</t>
        </is>
      </c>
      <c r="F25" s="18">
        <f>F11*(Assumptions!$B$21+Assumptions!$B$22)*(1+Assumptions!$B$23)*(1+Assumptions!$B$24)/F23</f>
        <v/>
      </c>
      <c r="G25" s="9" t="inlineStr">
        <is>
          <t>Carbon separation only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1"/>
  <sheetViews>
    <sheetView showGridLines="0" workbookViewId="0">
      <selection activeCell="A1" sqref="A1"/>
    </sheetView>
  </sheetViews>
  <sheetFormatPr baseColWidth="8" defaultRowHeight="15"/>
  <cols>
    <col width="52" customWidth="1" min="1" max="1"/>
    <col width="16" customWidth="1" min="2" max="2"/>
    <col width="14" customWidth="1" min="3" max="3"/>
    <col width="16" customWidth="1" min="4" max="4"/>
    <col width="70" customWidth="1" min="5" max="5"/>
  </cols>
  <sheetData>
    <row r="1">
      <c r="A1" s="21" t="inlineStr">
        <is>
          <t>Annual operating cost at steady state (year 3+, capacity factor 0.85), USD of the first operating year</t>
        </is>
      </c>
    </row>
    <row r="3">
      <c r="A3" s="6" t="inlineStr">
        <is>
          <t>Item</t>
        </is>
      </c>
      <c r="B3" s="6" t="inlineStr">
        <is>
          <t>Quantity</t>
        </is>
      </c>
      <c r="C3" s="6" t="inlineStr">
        <is>
          <t>Unit</t>
        </is>
      </c>
      <c r="D3" s="6" t="inlineStr">
        <is>
          <t>Cost (USD/yr)</t>
        </is>
      </c>
      <c r="E3" s="6" t="inlineStr">
        <is>
          <t>Basis</t>
        </is>
      </c>
    </row>
    <row r="4">
      <c r="A4" s="7" t="inlineStr">
        <is>
          <t>Operating hours</t>
        </is>
      </c>
      <c r="B4" s="45">
        <f>Assumptions!$B$5*Assumptions!$B$6</f>
        <v/>
      </c>
      <c r="C4" s="7" t="inlineStr">
        <is>
          <t>h/yr</t>
        </is>
      </c>
      <c r="D4" s="7" t="n"/>
      <c r="E4" s="9" t="inlineStr">
        <is>
          <t>Calendar hours x capacity factor</t>
        </is>
      </c>
    </row>
    <row r="5">
      <c r="A5" s="11" t="inlineStr">
        <is>
          <t>Utilities</t>
        </is>
      </c>
    </row>
    <row r="6">
      <c r="A6" s="7" t="inlineStr">
        <is>
          <t>Electricity (upgrading + digester auxiliaries)</t>
        </is>
      </c>
      <c r="B6" s="45">
        <f>(MAX(Process_Data!$B$25+Process_Data!$B$26,Assumptions!$B$40*Process_Data!$B$9)+Assumptions!$B$41)*B4</f>
        <v/>
      </c>
      <c r="C6" s="7" t="inlineStr">
        <is>
          <t>kWh/yr</t>
        </is>
      </c>
      <c r="D6" s="44">
        <f>B6*Assumptions!$B$31</f>
        <v/>
      </c>
      <c r="E6" s="9" t="inlineStr">
        <is>
          <t>Upgrading: larger of Aspen compressor power and IEA 0.2 kWh/Nm3; plus digester allowance; x hours x price</t>
        </is>
      </c>
    </row>
    <row r="7">
      <c r="A7" s="7" t="inlineStr">
        <is>
          <t>Natural gas for digester heating</t>
        </is>
      </c>
      <c r="B7" s="45">
        <f>(Process_Data!$B$27+Process_Data!$B$28)*B4*0.0036/Assumptions!$B$35</f>
        <v/>
      </c>
      <c r="C7" s="7" t="inlineStr">
        <is>
          <t>GJ/yr</t>
        </is>
      </c>
      <c r="D7" s="44">
        <f>B7*Assumptions!$B$34</f>
        <v/>
      </c>
      <c r="E7" s="9" t="inlineStr">
        <is>
          <t>(RSTOIC + B1 heat) x hours / efficiency</t>
        </is>
      </c>
    </row>
    <row r="8">
      <c r="A8" s="7" t="inlineStr">
        <is>
          <t>Natural gas for 790 C heating and pyrolysis</t>
        </is>
      </c>
      <c r="B8" s="45">
        <f>(Process_Data!$B$29+Process_Data!$B$32)*B4*0.0036/Assumptions!$B$36</f>
        <v/>
      </c>
      <c r="C8" s="7" t="inlineStr">
        <is>
          <t>GJ/yr</t>
        </is>
      </c>
      <c r="D8" s="44">
        <f>B8*Assumptions!$B$34</f>
        <v/>
      </c>
      <c r="E8" s="9" t="inlineStr">
        <is>
          <t>(HEAT2 + CH4PYRO heat) x hours / efficiency</t>
        </is>
      </c>
    </row>
    <row r="9">
      <c r="A9" s="7" t="inlineStr">
        <is>
          <t>Cooling water</t>
        </is>
      </c>
      <c r="B9" s="45">
        <f>Process_Data!$B$36*B4*0.0036</f>
        <v/>
      </c>
      <c r="C9" s="7" t="inlineStr">
        <is>
          <t>GJ/yr</t>
        </is>
      </c>
      <c r="D9" s="44">
        <f>B9*Assumptions!$B$37</f>
        <v/>
      </c>
      <c r="E9" s="9" t="inlineStr">
        <is>
          <t>Total cooling duty x hours x price</t>
        </is>
      </c>
    </row>
    <row r="10">
      <c r="A10" s="11" t="inlineStr">
        <is>
          <t>Utilities subtotal</t>
        </is>
      </c>
      <c r="B10" s="7" t="n"/>
      <c r="C10" s="7" t="inlineStr"/>
      <c r="D10" s="19">
        <f>SUM(D6:D9)</f>
        <v/>
      </c>
      <c r="E10" s="9" t="inlineStr"/>
    </row>
    <row r="11">
      <c r="A11" s="11" t="inlineStr">
        <is>
          <t>Raw materials</t>
        </is>
      </c>
    </row>
    <row r="12">
      <c r="A12" s="7" t="inlineStr">
        <is>
          <t>Process water</t>
        </is>
      </c>
      <c r="B12" s="45">
        <f>Process_Data!$B$6*B4/1000</f>
        <v/>
      </c>
      <c r="C12" s="7" t="inlineStr">
        <is>
          <t>m3/yr</t>
        </is>
      </c>
      <c r="D12" s="44">
        <f>B12*Assumptions!$B$38</f>
        <v/>
      </c>
      <c r="E12" s="9" t="inlineStr">
        <is>
          <t>WATERIN x hours</t>
        </is>
      </c>
    </row>
    <row r="13">
      <c r="A13" s="7" t="inlineStr">
        <is>
          <t>Biomass feed (wet)</t>
        </is>
      </c>
      <c r="B13" s="45">
        <f>Process_Data!$B$5*B4/1000</f>
        <v/>
      </c>
      <c r="C13" s="7" t="inlineStr">
        <is>
          <t>t/yr</t>
        </is>
      </c>
      <c r="D13" s="44">
        <f>B13*Assumptions!$B$39</f>
        <v/>
      </c>
      <c r="E13" s="9" t="inlineStr">
        <is>
          <t>BIOMASS x hours x price</t>
        </is>
      </c>
    </row>
    <row r="14">
      <c r="A14" s="7" t="inlineStr">
        <is>
          <t>Pyrolysis catalyst replacement</t>
        </is>
      </c>
      <c r="B14" s="45">
        <f>Process_Data!$B$23*Assumptions!$B$43</f>
        <v/>
      </c>
      <c r="C14" s="7" t="inlineStr">
        <is>
          <t>kg/yr</t>
        </is>
      </c>
      <c r="D14" s="44">
        <f>B14*Assumptions!$B$42</f>
        <v/>
      </c>
      <c r="E14" s="9" t="inlineStr">
        <is>
          <t>Charge x replacements per year</t>
        </is>
      </c>
    </row>
    <row r="15">
      <c r="A15" s="7" t="inlineStr">
        <is>
          <t>Membrane replacement (annualised)</t>
        </is>
      </c>
      <c r="B15" s="45">
        <f>Process_Data!$B$12/Assumptions!$B$46</f>
        <v/>
      </c>
      <c r="C15" s="7" t="inlineStr">
        <is>
          <t>m2/yr</t>
        </is>
      </c>
      <c r="D15" s="44">
        <f>B15*Assumptions!$B$44</f>
        <v/>
      </c>
      <c r="E15" s="9" t="inlineStr">
        <is>
          <t>Area / life x price</t>
        </is>
      </c>
    </row>
    <row r="16">
      <c r="A16" s="11" t="inlineStr">
        <is>
          <t>Raw materials subtotal</t>
        </is>
      </c>
      <c r="B16" s="7" t="n"/>
      <c r="C16" s="7" t="inlineStr"/>
      <c r="D16" s="19">
        <f>SUM(D12:D15)</f>
        <v/>
      </c>
      <c r="E16" s="9" t="inlineStr"/>
    </row>
    <row r="17">
      <c r="A17" s="11" t="inlineStr">
        <is>
          <t>Labour and maintenance</t>
        </is>
      </c>
    </row>
    <row r="18">
      <c r="A18" s="7" t="inlineStr">
        <is>
          <t>Operating labour</t>
        </is>
      </c>
      <c r="B18" s="45">
        <f>Assumptions!$B$47</f>
        <v/>
      </c>
      <c r="C18" s="7" t="inlineStr">
        <is>
          <t>FTE</t>
        </is>
      </c>
      <c r="D18" s="44">
        <f>B18*Assumptions!$B$48</f>
        <v/>
      </c>
      <c r="E18" s="9" t="inlineStr">
        <is>
          <t>FTE x salary</t>
        </is>
      </c>
    </row>
    <row r="19">
      <c r="A19" s="7" t="inlineStr">
        <is>
          <t>Maintenance</t>
        </is>
      </c>
      <c r="B19" s="7" t="n"/>
      <c r="C19" s="7" t="inlineStr"/>
      <c r="D19" s="44">
        <f>CAPEX!$F$23*Assumptions!$B$26</f>
        <v/>
      </c>
      <c r="E19" s="9" t="inlineStr">
        <is>
          <t>3 % of TPI ([1] Table 5)</t>
        </is>
      </c>
    </row>
    <row r="20">
      <c r="A20" s="11" t="inlineStr">
        <is>
          <t>Total operating cost (labour + maintenance + utilities + raw materials)</t>
        </is>
      </c>
      <c r="B20" s="7" t="n"/>
      <c r="C20" s="7" t="inlineStr"/>
      <c r="D20" s="19">
        <f>D18+D19+D10+D16</f>
        <v/>
      </c>
      <c r="E20" s="9" t="inlineStr">
        <is>
          <t>Definition in [1] Table 5</t>
        </is>
      </c>
    </row>
    <row r="21">
      <c r="A21" s="7" t="inlineStr">
        <is>
          <t>Operating charges</t>
        </is>
      </c>
      <c r="B21" s="7" t="n"/>
      <c r="C21" s="7" t="inlineStr"/>
      <c r="D21" s="44">
        <f>D18*Assumptions!$B$27</f>
        <v/>
      </c>
      <c r="E21" s="9" t="inlineStr">
        <is>
          <t>25 % of operating labour</t>
        </is>
      </c>
    </row>
    <row r="22">
      <c r="A22" s="7" t="inlineStr">
        <is>
          <t>Plant overhead</t>
        </is>
      </c>
      <c r="B22" s="7" t="n"/>
      <c r="C22" s="7" t="inlineStr"/>
      <c r="D22" s="44">
        <f>(D18+D19)*Assumptions!$B$28</f>
        <v/>
      </c>
      <c r="E22" s="9" t="inlineStr">
        <is>
          <t>50 % of labour + maintenance</t>
        </is>
      </c>
    </row>
    <row r="23">
      <c r="A23" s="7" t="inlineStr">
        <is>
          <t>General &amp; administrative</t>
        </is>
      </c>
      <c r="B23" s="7" t="n"/>
      <c r="C23" s="7" t="inlineStr"/>
      <c r="D23" s="44">
        <f>D20*Assumptions!$B$29</f>
        <v/>
      </c>
      <c r="E23" s="9" t="inlineStr">
        <is>
          <t>8 % of total operating cost</t>
        </is>
      </c>
    </row>
    <row r="24">
      <c r="A24" s="11" t="inlineStr">
        <is>
          <t>TOTAL ANNUAL OPERATING COST</t>
        </is>
      </c>
      <c r="B24" s="7" t="n"/>
      <c r="C24" s="7" t="inlineStr"/>
      <c r="D24" s="19">
        <f>D20+D21+D22+D23</f>
        <v/>
      </c>
      <c r="E24" s="9" t="inlineStr"/>
    </row>
    <row r="26">
      <c r="A26" s="11" t="inlineStr">
        <is>
          <t>By-product credits and product</t>
        </is>
      </c>
    </row>
    <row r="27">
      <c r="A27" s="7" t="inlineStr">
        <is>
          <t>Solid carbon sold</t>
        </is>
      </c>
      <c r="B27" s="45">
        <f>Process_Data!$B$21*B4/1000</f>
        <v/>
      </c>
      <c r="C27" s="7" t="inlineStr">
        <is>
          <t>t/yr</t>
        </is>
      </c>
      <c r="D27" s="44">
        <f>B27*Assumptions!$B$49</f>
        <v/>
      </c>
      <c r="E27" s="9" t="inlineStr">
        <is>
          <t>Carbon mass flow x hours x price</t>
        </is>
      </c>
    </row>
    <row r="28">
      <c r="A28" s="7" t="inlineStr">
        <is>
          <t>Digestate</t>
        </is>
      </c>
      <c r="B28" s="45">
        <f>Process_Data!$B$11*B4/1000</f>
        <v/>
      </c>
      <c r="C28" s="7" t="inlineStr">
        <is>
          <t>t/yr</t>
        </is>
      </c>
      <c r="D28" s="44">
        <f>B28*Assumptions!$B$50</f>
        <v/>
      </c>
      <c r="E28" s="9" t="inlineStr">
        <is>
          <t>LIQUID x hours x price</t>
        </is>
      </c>
    </row>
    <row r="29">
      <c r="A29" s="11" t="inlineStr">
        <is>
          <t>Total by-product credits</t>
        </is>
      </c>
      <c r="B29" s="7" t="n"/>
      <c r="C29" s="7" t="inlineStr"/>
      <c r="D29" s="19">
        <f>D27+D28</f>
        <v/>
      </c>
      <c r="E29" s="9" t="inlineStr"/>
    </row>
    <row r="30">
      <c r="A30" s="11" t="inlineStr">
        <is>
          <t>Hydrogen produced</t>
        </is>
      </c>
      <c r="B30" s="45">
        <f>Process_Data!$B$19*B4</f>
        <v/>
      </c>
      <c r="C30" s="7" t="inlineStr">
        <is>
          <t>kg/yr</t>
        </is>
      </c>
      <c r="D30" s="7" t="n"/>
      <c r="E30" s="9" t="inlineStr">
        <is>
          <t>H2 mass flow x hours</t>
        </is>
      </c>
    </row>
    <row r="31">
      <c r="A31" s="11" t="inlineStr">
        <is>
          <t>Net annual cost (operating cost - credits)</t>
        </is>
      </c>
      <c r="B31" s="7" t="n"/>
      <c r="C31" s="7" t="inlineStr"/>
      <c r="D31" s="19">
        <f>D24-D29</f>
        <v/>
      </c>
      <c r="E31" s="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2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s>
  <sheetData>
    <row r="1">
      <c r="A1" s="21" t="inlineStr">
        <is>
          <t>Discounted cash flow: levelised cost of hydrogen at the IRR (method of [1], [2])</t>
        </is>
      </c>
    </row>
    <row r="2">
      <c r="A2" s="5" t="inlineStr">
        <is>
          <t>Year 1-3 construction, year 4-23 operation. Costs escalate by category; LCOH is the first-year H2 price (escalating at the product rate) that gives NPV = 0 at the IRR.</t>
        </is>
      </c>
    </row>
    <row r="4">
      <c r="A4" s="46" t="inlineStr">
        <is>
          <t>Year</t>
        </is>
      </c>
      <c r="B4" s="47" t="n">
        <v>1</v>
      </c>
      <c r="C4" s="47" t="n">
        <v>2</v>
      </c>
      <c r="D4" s="47" t="n">
        <v>3</v>
      </c>
      <c r="E4" s="47" t="n">
        <v>4</v>
      </c>
      <c r="F4" s="47" t="n">
        <v>5</v>
      </c>
      <c r="G4" s="47" t="n">
        <v>6</v>
      </c>
      <c r="H4" s="47" t="n">
        <v>7</v>
      </c>
      <c r="I4" s="47" t="n">
        <v>8</v>
      </c>
      <c r="J4" s="47" t="n">
        <v>9</v>
      </c>
      <c r="K4" s="47" t="n">
        <v>10</v>
      </c>
      <c r="L4" s="47" t="n">
        <v>11</v>
      </c>
      <c r="M4" s="47" t="n">
        <v>12</v>
      </c>
      <c r="N4" s="47" t="n">
        <v>13</v>
      </c>
      <c r="O4" s="47" t="n">
        <v>14</v>
      </c>
      <c r="P4" s="47" t="n">
        <v>15</v>
      </c>
      <c r="Q4" s="47" t="n">
        <v>16</v>
      </c>
      <c r="R4" s="47" t="n">
        <v>17</v>
      </c>
      <c r="S4" s="47" t="n">
        <v>18</v>
      </c>
      <c r="T4" s="47" t="n">
        <v>19</v>
      </c>
      <c r="U4" s="47" t="n">
        <v>20</v>
      </c>
      <c r="V4" s="47" t="n">
        <v>21</v>
      </c>
      <c r="W4" s="47" t="n">
        <v>22</v>
      </c>
      <c r="X4" s="47" t="n">
        <v>23</v>
      </c>
    </row>
    <row r="5">
      <c r="A5" s="46" t="inlineStr">
        <is>
          <t>Phase</t>
        </is>
      </c>
      <c r="B5" s="48" t="inlineStr">
        <is>
          <t>Construction</t>
        </is>
      </c>
      <c r="C5" s="48" t="inlineStr">
        <is>
          <t>Construction</t>
        </is>
      </c>
      <c r="D5" s="48" t="inlineStr">
        <is>
          <t>Construction</t>
        </is>
      </c>
      <c r="E5" s="48" t="inlineStr">
        <is>
          <t>Operation</t>
        </is>
      </c>
      <c r="F5" s="48" t="inlineStr">
        <is>
          <t>Operation</t>
        </is>
      </c>
      <c r="G5" s="48" t="inlineStr">
        <is>
          <t>Operation</t>
        </is>
      </c>
      <c r="H5" s="48" t="inlineStr">
        <is>
          <t>Operation</t>
        </is>
      </c>
      <c r="I5" s="48" t="inlineStr">
        <is>
          <t>Operation</t>
        </is>
      </c>
      <c r="J5" s="48" t="inlineStr">
        <is>
          <t>Operation</t>
        </is>
      </c>
      <c r="K5" s="48" t="inlineStr">
        <is>
          <t>Operation</t>
        </is>
      </c>
      <c r="L5" s="48" t="inlineStr">
        <is>
          <t>Operation</t>
        </is>
      </c>
      <c r="M5" s="48" t="inlineStr">
        <is>
          <t>Operation</t>
        </is>
      </c>
      <c r="N5" s="48" t="inlineStr">
        <is>
          <t>Operation</t>
        </is>
      </c>
      <c r="O5" s="48" t="inlineStr">
        <is>
          <t>Operation</t>
        </is>
      </c>
      <c r="P5" s="48" t="inlineStr">
        <is>
          <t>Operation</t>
        </is>
      </c>
      <c r="Q5" s="48" t="inlineStr">
        <is>
          <t>Operation</t>
        </is>
      </c>
      <c r="R5" s="48" t="inlineStr">
        <is>
          <t>Operation</t>
        </is>
      </c>
      <c r="S5" s="48" t="inlineStr">
        <is>
          <t>Operation</t>
        </is>
      </c>
      <c r="T5" s="48" t="inlineStr">
        <is>
          <t>Operation</t>
        </is>
      </c>
      <c r="U5" s="48" t="inlineStr">
        <is>
          <t>Operation</t>
        </is>
      </c>
      <c r="V5" s="48" t="inlineStr">
        <is>
          <t>Operation</t>
        </is>
      </c>
      <c r="W5" s="48" t="inlineStr">
        <is>
          <t>Operation</t>
        </is>
      </c>
      <c r="X5" s="48" t="inlineStr">
        <is>
          <t>Operation</t>
        </is>
      </c>
    </row>
    <row r="6">
      <c r="A6" s="46" t="inlineStr">
        <is>
          <t>Operating year #</t>
        </is>
      </c>
      <c r="B6" s="47">
        <f>MAX(0,B4-3)</f>
        <v/>
      </c>
      <c r="C6" s="47">
        <f>MAX(0,C4-3)</f>
        <v/>
      </c>
      <c r="D6" s="47">
        <f>MAX(0,D4-3)</f>
        <v/>
      </c>
      <c r="E6" s="47">
        <f>MAX(0,E4-3)</f>
        <v/>
      </c>
      <c r="F6" s="47">
        <f>MAX(0,F4-3)</f>
        <v/>
      </c>
      <c r="G6" s="47">
        <f>MAX(0,G4-3)</f>
        <v/>
      </c>
      <c r="H6" s="47">
        <f>MAX(0,H4-3)</f>
        <v/>
      </c>
      <c r="I6" s="47">
        <f>MAX(0,I4-3)</f>
        <v/>
      </c>
      <c r="J6" s="47">
        <f>MAX(0,J4-3)</f>
        <v/>
      </c>
      <c r="K6" s="47">
        <f>MAX(0,K4-3)</f>
        <v/>
      </c>
      <c r="L6" s="47">
        <f>MAX(0,L4-3)</f>
        <v/>
      </c>
      <c r="M6" s="47">
        <f>MAX(0,M4-3)</f>
        <v/>
      </c>
      <c r="N6" s="47">
        <f>MAX(0,N4-3)</f>
        <v/>
      </c>
      <c r="O6" s="47">
        <f>MAX(0,O4-3)</f>
        <v/>
      </c>
      <c r="P6" s="47">
        <f>MAX(0,P4-3)</f>
        <v/>
      </c>
      <c r="Q6" s="47">
        <f>MAX(0,Q4-3)</f>
        <v/>
      </c>
      <c r="R6" s="47">
        <f>MAX(0,R4-3)</f>
        <v/>
      </c>
      <c r="S6" s="47">
        <f>MAX(0,S4-3)</f>
        <v/>
      </c>
      <c r="T6" s="47">
        <f>MAX(0,T4-3)</f>
        <v/>
      </c>
      <c r="U6" s="47">
        <f>MAX(0,U4-3)</f>
        <v/>
      </c>
      <c r="V6" s="47">
        <f>MAX(0,V4-3)</f>
        <v/>
      </c>
      <c r="W6" s="47">
        <f>MAX(0,W4-3)</f>
        <v/>
      </c>
      <c r="X6" s="47">
        <f>MAX(0,X4-3)</f>
        <v/>
      </c>
    </row>
    <row r="7">
      <c r="A7" s="46" t="inlineStr">
        <is>
          <t>Construction share</t>
        </is>
      </c>
      <c r="B7" s="49">
        <f>Assumptions!$B$11</f>
        <v/>
      </c>
      <c r="C7" s="49">
        <f>Assumptions!$B$12</f>
        <v/>
      </c>
      <c r="D7" s="49">
        <f>Assumptions!$B$13</f>
        <v/>
      </c>
      <c r="E7" s="18" t="n">
        <v>0</v>
      </c>
      <c r="F7" s="18" t="n">
        <v>0</v>
      </c>
      <c r="G7" s="18" t="n">
        <v>0</v>
      </c>
      <c r="H7" s="18" t="n">
        <v>0</v>
      </c>
      <c r="I7" s="18" t="n">
        <v>0</v>
      </c>
      <c r="J7" s="18" t="n">
        <v>0</v>
      </c>
      <c r="K7" s="18" t="n">
        <v>0</v>
      </c>
      <c r="L7" s="18" t="n">
        <v>0</v>
      </c>
      <c r="M7" s="18" t="n">
        <v>0</v>
      </c>
      <c r="N7" s="18" t="n">
        <v>0</v>
      </c>
      <c r="O7" s="18" t="n">
        <v>0</v>
      </c>
      <c r="P7" s="18" t="n">
        <v>0</v>
      </c>
      <c r="Q7" s="18" t="n">
        <v>0</v>
      </c>
      <c r="R7" s="18" t="n">
        <v>0</v>
      </c>
      <c r="S7" s="18" t="n">
        <v>0</v>
      </c>
      <c r="T7" s="18" t="n">
        <v>0</v>
      </c>
      <c r="U7" s="18" t="n">
        <v>0</v>
      </c>
      <c r="V7" s="18" t="n">
        <v>0</v>
      </c>
      <c r="W7" s="18" t="n">
        <v>0</v>
      </c>
      <c r="X7" s="18" t="n">
        <v>0</v>
      </c>
    </row>
    <row r="8">
      <c r="A8" s="46" t="inlineStr">
        <is>
          <t>Capacity factor</t>
        </is>
      </c>
      <c r="B8" s="50">
        <f>IF(B6=0,0,IF(B6=1,Assumptions!$B$7,IF(B6=2,Assumptions!$B$8,Assumptions!$B$6)))</f>
        <v/>
      </c>
      <c r="C8" s="50">
        <f>IF(C6=0,0,IF(C6=1,Assumptions!$B$7,IF(C6=2,Assumptions!$B$8,Assumptions!$B$6)))</f>
        <v/>
      </c>
      <c r="D8" s="50">
        <f>IF(D6=0,0,IF(D6=1,Assumptions!$B$7,IF(D6=2,Assumptions!$B$8,Assumptions!$B$6)))</f>
        <v/>
      </c>
      <c r="E8" s="50">
        <f>IF(E6=0,0,IF(E6=1,Assumptions!$B$7,IF(E6=2,Assumptions!$B$8,Assumptions!$B$6)))</f>
        <v/>
      </c>
      <c r="F8" s="50">
        <f>IF(F6=0,0,IF(F6=1,Assumptions!$B$7,IF(F6=2,Assumptions!$B$8,Assumptions!$B$6)))</f>
        <v/>
      </c>
      <c r="G8" s="50">
        <f>IF(G6=0,0,IF(G6=1,Assumptions!$B$7,IF(G6=2,Assumptions!$B$8,Assumptions!$B$6)))</f>
        <v/>
      </c>
      <c r="H8" s="50">
        <f>IF(H6=0,0,IF(H6=1,Assumptions!$B$7,IF(H6=2,Assumptions!$B$8,Assumptions!$B$6)))</f>
        <v/>
      </c>
      <c r="I8" s="50">
        <f>IF(I6=0,0,IF(I6=1,Assumptions!$B$7,IF(I6=2,Assumptions!$B$8,Assumptions!$B$6)))</f>
        <v/>
      </c>
      <c r="J8" s="50">
        <f>IF(J6=0,0,IF(J6=1,Assumptions!$B$7,IF(J6=2,Assumptions!$B$8,Assumptions!$B$6)))</f>
        <v/>
      </c>
      <c r="K8" s="50">
        <f>IF(K6=0,0,IF(K6=1,Assumptions!$B$7,IF(K6=2,Assumptions!$B$8,Assumptions!$B$6)))</f>
        <v/>
      </c>
      <c r="L8" s="50">
        <f>IF(L6=0,0,IF(L6=1,Assumptions!$B$7,IF(L6=2,Assumptions!$B$8,Assumptions!$B$6)))</f>
        <v/>
      </c>
      <c r="M8" s="50">
        <f>IF(M6=0,0,IF(M6=1,Assumptions!$B$7,IF(M6=2,Assumptions!$B$8,Assumptions!$B$6)))</f>
        <v/>
      </c>
      <c r="N8" s="50">
        <f>IF(N6=0,0,IF(N6=1,Assumptions!$B$7,IF(N6=2,Assumptions!$B$8,Assumptions!$B$6)))</f>
        <v/>
      </c>
      <c r="O8" s="50">
        <f>IF(O6=0,0,IF(O6=1,Assumptions!$B$7,IF(O6=2,Assumptions!$B$8,Assumptions!$B$6)))</f>
        <v/>
      </c>
      <c r="P8" s="50">
        <f>IF(P6=0,0,IF(P6=1,Assumptions!$B$7,IF(P6=2,Assumptions!$B$8,Assumptions!$B$6)))</f>
        <v/>
      </c>
      <c r="Q8" s="50">
        <f>IF(Q6=0,0,IF(Q6=1,Assumptions!$B$7,IF(Q6=2,Assumptions!$B$8,Assumptions!$B$6)))</f>
        <v/>
      </c>
      <c r="R8" s="50">
        <f>IF(R6=0,0,IF(R6=1,Assumptions!$B$7,IF(R6=2,Assumptions!$B$8,Assumptions!$B$6)))</f>
        <v/>
      </c>
      <c r="S8" s="50">
        <f>IF(S6=0,0,IF(S6=1,Assumptions!$B$7,IF(S6=2,Assumptions!$B$8,Assumptions!$B$6)))</f>
        <v/>
      </c>
      <c r="T8" s="50">
        <f>IF(T6=0,0,IF(T6=1,Assumptions!$B$7,IF(T6=2,Assumptions!$B$8,Assumptions!$B$6)))</f>
        <v/>
      </c>
      <c r="U8" s="50">
        <f>IF(U6=0,0,IF(U6=1,Assumptions!$B$7,IF(U6=2,Assumptions!$B$8,Assumptions!$B$6)))</f>
        <v/>
      </c>
      <c r="V8" s="50">
        <f>IF(V6=0,0,IF(V6=1,Assumptions!$B$7,IF(V6=2,Assumptions!$B$8,Assumptions!$B$6)))</f>
        <v/>
      </c>
      <c r="W8" s="50">
        <f>IF(W6=0,0,IF(W6=1,Assumptions!$B$7,IF(W6=2,Assumptions!$B$8,Assumptions!$B$6)))</f>
        <v/>
      </c>
      <c r="X8" s="50">
        <f>IF(X6=0,0,IF(X6=1,Assumptions!$B$7,IF(X6=2,Assumptions!$B$8,Assumptions!$B$6)))</f>
        <v/>
      </c>
    </row>
    <row r="9">
      <c r="A9" s="46" t="inlineStr">
        <is>
          <t>Discount factor</t>
        </is>
      </c>
      <c r="B9" s="51">
        <f>1/(1+Assumptions!$B$10)^B4</f>
        <v/>
      </c>
      <c r="C9" s="51">
        <f>1/(1+Assumptions!$B$10)^C4</f>
        <v/>
      </c>
      <c r="D9" s="51">
        <f>1/(1+Assumptions!$B$10)^D4</f>
        <v/>
      </c>
      <c r="E9" s="51">
        <f>1/(1+Assumptions!$B$10)^E4</f>
        <v/>
      </c>
      <c r="F9" s="51">
        <f>1/(1+Assumptions!$B$10)^F4</f>
        <v/>
      </c>
      <c r="G9" s="51">
        <f>1/(1+Assumptions!$B$10)^G4</f>
        <v/>
      </c>
      <c r="H9" s="51">
        <f>1/(1+Assumptions!$B$10)^H4</f>
        <v/>
      </c>
      <c r="I9" s="51">
        <f>1/(1+Assumptions!$B$10)^I4</f>
        <v/>
      </c>
      <c r="J9" s="51">
        <f>1/(1+Assumptions!$B$10)^J4</f>
        <v/>
      </c>
      <c r="K9" s="51">
        <f>1/(1+Assumptions!$B$10)^K4</f>
        <v/>
      </c>
      <c r="L9" s="51">
        <f>1/(1+Assumptions!$B$10)^L4</f>
        <v/>
      </c>
      <c r="M9" s="51">
        <f>1/(1+Assumptions!$B$10)^M4</f>
        <v/>
      </c>
      <c r="N9" s="51">
        <f>1/(1+Assumptions!$B$10)^N4</f>
        <v/>
      </c>
      <c r="O9" s="51">
        <f>1/(1+Assumptions!$B$10)^O4</f>
        <v/>
      </c>
      <c r="P9" s="51">
        <f>1/(1+Assumptions!$B$10)^P4</f>
        <v/>
      </c>
      <c r="Q9" s="51">
        <f>1/(1+Assumptions!$B$10)^Q4</f>
        <v/>
      </c>
      <c r="R9" s="51">
        <f>1/(1+Assumptions!$B$10)^R4</f>
        <v/>
      </c>
      <c r="S9" s="51">
        <f>1/(1+Assumptions!$B$10)^S4</f>
        <v/>
      </c>
      <c r="T9" s="51">
        <f>1/(1+Assumptions!$B$10)^T4</f>
        <v/>
      </c>
      <c r="U9" s="51">
        <f>1/(1+Assumptions!$B$10)^U4</f>
        <v/>
      </c>
      <c r="V9" s="51">
        <f>1/(1+Assumptions!$B$10)^V4</f>
        <v/>
      </c>
      <c r="W9" s="51">
        <f>1/(1+Assumptions!$B$10)^W4</f>
        <v/>
      </c>
      <c r="X9" s="51">
        <f>1/(1+Assumptions!$B$10)^X4</f>
        <v/>
      </c>
    </row>
    <row r="10">
      <c r="A10" s="46" t="inlineStr">
        <is>
          <t>Capital spend (escalated)</t>
        </is>
      </c>
      <c r="B10" s="44">
        <f>CAPEX!$F$23*B7*(1+Assumptions!$B$14)^(B4-1)</f>
        <v/>
      </c>
      <c r="C10" s="44">
        <f>CAPEX!$F$23*C7*(1+Assumptions!$B$14)^(C4-1)</f>
        <v/>
      </c>
      <c r="D10" s="44">
        <f>CAPEX!$F$23*D7*(1+Assumptions!$B$14)^(D4-1)</f>
        <v/>
      </c>
      <c r="E10" s="44">
        <f>CAPEX!$F$23*E7*(1+Assumptions!$B$14)^(E4-1)</f>
        <v/>
      </c>
      <c r="F10" s="44">
        <f>CAPEX!$F$23*F7*(1+Assumptions!$B$14)^(F4-1)</f>
        <v/>
      </c>
      <c r="G10" s="44">
        <f>CAPEX!$F$23*G7*(1+Assumptions!$B$14)^(G4-1)</f>
        <v/>
      </c>
      <c r="H10" s="44">
        <f>CAPEX!$F$23*H7*(1+Assumptions!$B$14)^(H4-1)</f>
        <v/>
      </c>
      <c r="I10" s="44">
        <f>CAPEX!$F$23*I7*(1+Assumptions!$B$14)^(I4-1)</f>
        <v/>
      </c>
      <c r="J10" s="44">
        <f>CAPEX!$F$23*J7*(1+Assumptions!$B$14)^(J4-1)</f>
        <v/>
      </c>
      <c r="K10" s="44">
        <f>CAPEX!$F$23*K7*(1+Assumptions!$B$14)^(K4-1)</f>
        <v/>
      </c>
      <c r="L10" s="44">
        <f>CAPEX!$F$23*L7*(1+Assumptions!$B$14)^(L4-1)</f>
        <v/>
      </c>
      <c r="M10" s="44">
        <f>CAPEX!$F$23*M7*(1+Assumptions!$B$14)^(M4-1)</f>
        <v/>
      </c>
      <c r="N10" s="44">
        <f>CAPEX!$F$23*N7*(1+Assumptions!$B$14)^(N4-1)</f>
        <v/>
      </c>
      <c r="O10" s="44">
        <f>CAPEX!$F$23*O7*(1+Assumptions!$B$14)^(O4-1)</f>
        <v/>
      </c>
      <c r="P10" s="44">
        <f>CAPEX!$F$23*P7*(1+Assumptions!$B$14)^(P4-1)</f>
        <v/>
      </c>
      <c r="Q10" s="44">
        <f>CAPEX!$F$23*Q7*(1+Assumptions!$B$14)^(Q4-1)</f>
        <v/>
      </c>
      <c r="R10" s="44">
        <f>CAPEX!$F$23*R7*(1+Assumptions!$B$14)^(R4-1)</f>
        <v/>
      </c>
      <c r="S10" s="44">
        <f>CAPEX!$F$23*S7*(1+Assumptions!$B$14)^(S4-1)</f>
        <v/>
      </c>
      <c r="T10" s="44">
        <f>CAPEX!$F$23*T7*(1+Assumptions!$B$14)^(T4-1)</f>
        <v/>
      </c>
      <c r="U10" s="44">
        <f>CAPEX!$F$23*U7*(1+Assumptions!$B$14)^(U4-1)</f>
        <v/>
      </c>
      <c r="V10" s="44">
        <f>CAPEX!$F$23*V7*(1+Assumptions!$B$14)^(V4-1)</f>
        <v/>
      </c>
      <c r="W10" s="44">
        <f>CAPEX!$F$23*W7*(1+Assumptions!$B$14)^(W4-1)</f>
        <v/>
      </c>
      <c r="X10" s="44">
        <f>CAPEX!$F$23*X7*(1+Assumptions!$B$14)^(X4-1)</f>
        <v/>
      </c>
    </row>
    <row r="11">
      <c r="A11" s="46" t="inlineStr">
        <is>
          <t>Utilities</t>
        </is>
      </c>
      <c r="B11" s="44">
        <f>IF(B6=0,0,OPEX!$D$10*B8/Assumptions!$B$6*(1+Assumptions!$B$18)^MAX(0,B6-1))</f>
        <v/>
      </c>
      <c r="C11" s="44">
        <f>IF(C6=0,0,OPEX!$D$10*C8/Assumptions!$B$6*(1+Assumptions!$B$18)^MAX(0,C6-1))</f>
        <v/>
      </c>
      <c r="D11" s="44">
        <f>IF(D6=0,0,OPEX!$D$10*D8/Assumptions!$B$6*(1+Assumptions!$B$18)^MAX(0,D6-1))</f>
        <v/>
      </c>
      <c r="E11" s="44">
        <f>IF(E6=0,0,OPEX!$D$10*E8/Assumptions!$B$6*(1+Assumptions!$B$18)^MAX(0,E6-1))</f>
        <v/>
      </c>
      <c r="F11" s="44">
        <f>IF(F6=0,0,OPEX!$D$10*F8/Assumptions!$B$6*(1+Assumptions!$B$18)^MAX(0,F6-1))</f>
        <v/>
      </c>
      <c r="G11" s="44">
        <f>IF(G6=0,0,OPEX!$D$10*G8/Assumptions!$B$6*(1+Assumptions!$B$18)^MAX(0,G6-1))</f>
        <v/>
      </c>
      <c r="H11" s="44">
        <f>IF(H6=0,0,OPEX!$D$10*H8/Assumptions!$B$6*(1+Assumptions!$B$18)^MAX(0,H6-1))</f>
        <v/>
      </c>
      <c r="I11" s="44">
        <f>IF(I6=0,0,OPEX!$D$10*I8/Assumptions!$B$6*(1+Assumptions!$B$18)^MAX(0,I6-1))</f>
        <v/>
      </c>
      <c r="J11" s="44">
        <f>IF(J6=0,0,OPEX!$D$10*J8/Assumptions!$B$6*(1+Assumptions!$B$18)^MAX(0,J6-1))</f>
        <v/>
      </c>
      <c r="K11" s="44">
        <f>IF(K6=0,0,OPEX!$D$10*K8/Assumptions!$B$6*(1+Assumptions!$B$18)^MAX(0,K6-1))</f>
        <v/>
      </c>
      <c r="L11" s="44">
        <f>IF(L6=0,0,OPEX!$D$10*L8/Assumptions!$B$6*(1+Assumptions!$B$18)^MAX(0,L6-1))</f>
        <v/>
      </c>
      <c r="M11" s="44">
        <f>IF(M6=0,0,OPEX!$D$10*M8/Assumptions!$B$6*(1+Assumptions!$B$18)^MAX(0,M6-1))</f>
        <v/>
      </c>
      <c r="N11" s="44">
        <f>IF(N6=0,0,OPEX!$D$10*N8/Assumptions!$B$6*(1+Assumptions!$B$18)^MAX(0,N6-1))</f>
        <v/>
      </c>
      <c r="O11" s="44">
        <f>IF(O6=0,0,OPEX!$D$10*O8/Assumptions!$B$6*(1+Assumptions!$B$18)^MAX(0,O6-1))</f>
        <v/>
      </c>
      <c r="P11" s="44">
        <f>IF(P6=0,0,OPEX!$D$10*P8/Assumptions!$B$6*(1+Assumptions!$B$18)^MAX(0,P6-1))</f>
        <v/>
      </c>
      <c r="Q11" s="44">
        <f>IF(Q6=0,0,OPEX!$D$10*Q8/Assumptions!$B$6*(1+Assumptions!$B$18)^MAX(0,Q6-1))</f>
        <v/>
      </c>
      <c r="R11" s="44">
        <f>IF(R6=0,0,OPEX!$D$10*R8/Assumptions!$B$6*(1+Assumptions!$B$18)^MAX(0,R6-1))</f>
        <v/>
      </c>
      <c r="S11" s="44">
        <f>IF(S6=0,0,OPEX!$D$10*S8/Assumptions!$B$6*(1+Assumptions!$B$18)^MAX(0,S6-1))</f>
        <v/>
      </c>
      <c r="T11" s="44">
        <f>IF(T6=0,0,OPEX!$D$10*T8/Assumptions!$B$6*(1+Assumptions!$B$18)^MAX(0,T6-1))</f>
        <v/>
      </c>
      <c r="U11" s="44">
        <f>IF(U6=0,0,OPEX!$D$10*U8/Assumptions!$B$6*(1+Assumptions!$B$18)^MAX(0,U6-1))</f>
        <v/>
      </c>
      <c r="V11" s="44">
        <f>IF(V6=0,0,OPEX!$D$10*V8/Assumptions!$B$6*(1+Assumptions!$B$18)^MAX(0,V6-1))</f>
        <v/>
      </c>
      <c r="W11" s="44">
        <f>IF(W6=0,0,OPEX!$D$10*W8/Assumptions!$B$6*(1+Assumptions!$B$18)^MAX(0,W6-1))</f>
        <v/>
      </c>
      <c r="X11" s="44">
        <f>IF(X6=0,0,OPEX!$D$10*X8/Assumptions!$B$6*(1+Assumptions!$B$18)^MAX(0,X6-1))</f>
        <v/>
      </c>
    </row>
    <row r="12">
      <c r="A12" s="46" t="inlineStr">
        <is>
          <t>Raw materials</t>
        </is>
      </c>
      <c r="B12" s="44">
        <f>IF(B6=0,0,OPEX!$D$16*B8/Assumptions!$B$6*(1+Assumptions!$B$16)^MAX(0,B6-1))</f>
        <v/>
      </c>
      <c r="C12" s="44">
        <f>IF(C6=0,0,OPEX!$D$16*C8/Assumptions!$B$6*(1+Assumptions!$B$16)^MAX(0,C6-1))</f>
        <v/>
      </c>
      <c r="D12" s="44">
        <f>IF(D6=0,0,OPEX!$D$16*D8/Assumptions!$B$6*(1+Assumptions!$B$16)^MAX(0,D6-1))</f>
        <v/>
      </c>
      <c r="E12" s="44">
        <f>IF(E6=0,0,OPEX!$D$16*E8/Assumptions!$B$6*(1+Assumptions!$B$16)^MAX(0,E6-1))</f>
        <v/>
      </c>
      <c r="F12" s="44">
        <f>IF(F6=0,0,OPEX!$D$16*F8/Assumptions!$B$6*(1+Assumptions!$B$16)^MAX(0,F6-1))</f>
        <v/>
      </c>
      <c r="G12" s="44">
        <f>IF(G6=0,0,OPEX!$D$16*G8/Assumptions!$B$6*(1+Assumptions!$B$16)^MAX(0,G6-1))</f>
        <v/>
      </c>
      <c r="H12" s="44">
        <f>IF(H6=0,0,OPEX!$D$16*H8/Assumptions!$B$6*(1+Assumptions!$B$16)^MAX(0,H6-1))</f>
        <v/>
      </c>
      <c r="I12" s="44">
        <f>IF(I6=0,0,OPEX!$D$16*I8/Assumptions!$B$6*(1+Assumptions!$B$16)^MAX(0,I6-1))</f>
        <v/>
      </c>
      <c r="J12" s="44">
        <f>IF(J6=0,0,OPEX!$D$16*J8/Assumptions!$B$6*(1+Assumptions!$B$16)^MAX(0,J6-1))</f>
        <v/>
      </c>
      <c r="K12" s="44">
        <f>IF(K6=0,0,OPEX!$D$16*K8/Assumptions!$B$6*(1+Assumptions!$B$16)^MAX(0,K6-1))</f>
        <v/>
      </c>
      <c r="L12" s="44">
        <f>IF(L6=0,0,OPEX!$D$16*L8/Assumptions!$B$6*(1+Assumptions!$B$16)^MAX(0,L6-1))</f>
        <v/>
      </c>
      <c r="M12" s="44">
        <f>IF(M6=0,0,OPEX!$D$16*M8/Assumptions!$B$6*(1+Assumptions!$B$16)^MAX(0,M6-1))</f>
        <v/>
      </c>
      <c r="N12" s="44">
        <f>IF(N6=0,0,OPEX!$D$16*N8/Assumptions!$B$6*(1+Assumptions!$B$16)^MAX(0,N6-1))</f>
        <v/>
      </c>
      <c r="O12" s="44">
        <f>IF(O6=0,0,OPEX!$D$16*O8/Assumptions!$B$6*(1+Assumptions!$B$16)^MAX(0,O6-1))</f>
        <v/>
      </c>
      <c r="P12" s="44">
        <f>IF(P6=0,0,OPEX!$D$16*P8/Assumptions!$B$6*(1+Assumptions!$B$16)^MAX(0,P6-1))</f>
        <v/>
      </c>
      <c r="Q12" s="44">
        <f>IF(Q6=0,0,OPEX!$D$16*Q8/Assumptions!$B$6*(1+Assumptions!$B$16)^MAX(0,Q6-1))</f>
        <v/>
      </c>
      <c r="R12" s="44">
        <f>IF(R6=0,0,OPEX!$D$16*R8/Assumptions!$B$6*(1+Assumptions!$B$16)^MAX(0,R6-1))</f>
        <v/>
      </c>
      <c r="S12" s="44">
        <f>IF(S6=0,0,OPEX!$D$16*S8/Assumptions!$B$6*(1+Assumptions!$B$16)^MAX(0,S6-1))</f>
        <v/>
      </c>
      <c r="T12" s="44">
        <f>IF(T6=0,0,OPEX!$D$16*T8/Assumptions!$B$6*(1+Assumptions!$B$16)^MAX(0,T6-1))</f>
        <v/>
      </c>
      <c r="U12" s="44">
        <f>IF(U6=0,0,OPEX!$D$16*U8/Assumptions!$B$6*(1+Assumptions!$B$16)^MAX(0,U6-1))</f>
        <v/>
      </c>
      <c r="V12" s="44">
        <f>IF(V6=0,0,OPEX!$D$16*V8/Assumptions!$B$6*(1+Assumptions!$B$16)^MAX(0,V6-1))</f>
        <v/>
      </c>
      <c r="W12" s="44">
        <f>IF(W6=0,0,OPEX!$D$16*W8/Assumptions!$B$6*(1+Assumptions!$B$16)^MAX(0,W6-1))</f>
        <v/>
      </c>
      <c r="X12" s="44">
        <f>IF(X6=0,0,OPEX!$D$16*X8/Assumptions!$B$6*(1+Assumptions!$B$16)^MAX(0,X6-1))</f>
        <v/>
      </c>
    </row>
    <row r="13">
      <c r="A13" s="46" t="inlineStr">
        <is>
          <t>Labour, maintenance, charges, overhead</t>
        </is>
      </c>
      <c r="B13" s="44">
        <f>IF(B6=0,0,(OPEX!$D$18+OPEX!$D$19+OPEX!$D$21+OPEX!$D$22)*(1+Assumptions!$B$17)^MAX(0,B6-1))</f>
        <v/>
      </c>
      <c r="C13" s="44">
        <f>IF(C6=0,0,(OPEX!$D$18+OPEX!$D$19+OPEX!$D$21+OPEX!$D$22)*(1+Assumptions!$B$17)^MAX(0,C6-1))</f>
        <v/>
      </c>
      <c r="D13" s="44">
        <f>IF(D6=0,0,(OPEX!$D$18+OPEX!$D$19+OPEX!$D$21+OPEX!$D$22)*(1+Assumptions!$B$17)^MAX(0,D6-1))</f>
        <v/>
      </c>
      <c r="E13" s="44">
        <f>IF(E6=0,0,(OPEX!$D$18+OPEX!$D$19+OPEX!$D$21+OPEX!$D$22)*(1+Assumptions!$B$17)^MAX(0,E6-1))</f>
        <v/>
      </c>
      <c r="F13" s="44">
        <f>IF(F6=0,0,(OPEX!$D$18+OPEX!$D$19+OPEX!$D$21+OPEX!$D$22)*(1+Assumptions!$B$17)^MAX(0,F6-1))</f>
        <v/>
      </c>
      <c r="G13" s="44">
        <f>IF(G6=0,0,(OPEX!$D$18+OPEX!$D$19+OPEX!$D$21+OPEX!$D$22)*(1+Assumptions!$B$17)^MAX(0,G6-1))</f>
        <v/>
      </c>
      <c r="H13" s="44">
        <f>IF(H6=0,0,(OPEX!$D$18+OPEX!$D$19+OPEX!$D$21+OPEX!$D$22)*(1+Assumptions!$B$17)^MAX(0,H6-1))</f>
        <v/>
      </c>
      <c r="I13" s="44">
        <f>IF(I6=0,0,(OPEX!$D$18+OPEX!$D$19+OPEX!$D$21+OPEX!$D$22)*(1+Assumptions!$B$17)^MAX(0,I6-1))</f>
        <v/>
      </c>
      <c r="J13" s="44">
        <f>IF(J6=0,0,(OPEX!$D$18+OPEX!$D$19+OPEX!$D$21+OPEX!$D$22)*(1+Assumptions!$B$17)^MAX(0,J6-1))</f>
        <v/>
      </c>
      <c r="K13" s="44">
        <f>IF(K6=0,0,(OPEX!$D$18+OPEX!$D$19+OPEX!$D$21+OPEX!$D$22)*(1+Assumptions!$B$17)^MAX(0,K6-1))</f>
        <v/>
      </c>
      <c r="L13" s="44">
        <f>IF(L6=0,0,(OPEX!$D$18+OPEX!$D$19+OPEX!$D$21+OPEX!$D$22)*(1+Assumptions!$B$17)^MAX(0,L6-1))</f>
        <v/>
      </c>
      <c r="M13" s="44">
        <f>IF(M6=0,0,(OPEX!$D$18+OPEX!$D$19+OPEX!$D$21+OPEX!$D$22)*(1+Assumptions!$B$17)^MAX(0,M6-1))</f>
        <v/>
      </c>
      <c r="N13" s="44">
        <f>IF(N6=0,0,(OPEX!$D$18+OPEX!$D$19+OPEX!$D$21+OPEX!$D$22)*(1+Assumptions!$B$17)^MAX(0,N6-1))</f>
        <v/>
      </c>
      <c r="O13" s="44">
        <f>IF(O6=0,0,(OPEX!$D$18+OPEX!$D$19+OPEX!$D$21+OPEX!$D$22)*(1+Assumptions!$B$17)^MAX(0,O6-1))</f>
        <v/>
      </c>
      <c r="P13" s="44">
        <f>IF(P6=0,0,(OPEX!$D$18+OPEX!$D$19+OPEX!$D$21+OPEX!$D$22)*(1+Assumptions!$B$17)^MAX(0,P6-1))</f>
        <v/>
      </c>
      <c r="Q13" s="44">
        <f>IF(Q6=0,0,(OPEX!$D$18+OPEX!$D$19+OPEX!$D$21+OPEX!$D$22)*(1+Assumptions!$B$17)^MAX(0,Q6-1))</f>
        <v/>
      </c>
      <c r="R13" s="44">
        <f>IF(R6=0,0,(OPEX!$D$18+OPEX!$D$19+OPEX!$D$21+OPEX!$D$22)*(1+Assumptions!$B$17)^MAX(0,R6-1))</f>
        <v/>
      </c>
      <c r="S13" s="44">
        <f>IF(S6=0,0,(OPEX!$D$18+OPEX!$D$19+OPEX!$D$21+OPEX!$D$22)*(1+Assumptions!$B$17)^MAX(0,S6-1))</f>
        <v/>
      </c>
      <c r="T13" s="44">
        <f>IF(T6=0,0,(OPEX!$D$18+OPEX!$D$19+OPEX!$D$21+OPEX!$D$22)*(1+Assumptions!$B$17)^MAX(0,T6-1))</f>
        <v/>
      </c>
      <c r="U13" s="44">
        <f>IF(U6=0,0,(OPEX!$D$18+OPEX!$D$19+OPEX!$D$21+OPEX!$D$22)*(1+Assumptions!$B$17)^MAX(0,U6-1))</f>
        <v/>
      </c>
      <c r="V13" s="44">
        <f>IF(V6=0,0,(OPEX!$D$18+OPEX!$D$19+OPEX!$D$21+OPEX!$D$22)*(1+Assumptions!$B$17)^MAX(0,V6-1))</f>
        <v/>
      </c>
      <c r="W13" s="44">
        <f>IF(W6=0,0,(OPEX!$D$18+OPEX!$D$19+OPEX!$D$21+OPEX!$D$22)*(1+Assumptions!$B$17)^MAX(0,W6-1))</f>
        <v/>
      </c>
      <c r="X13" s="44">
        <f>IF(X6=0,0,(OPEX!$D$18+OPEX!$D$19+OPEX!$D$21+OPEX!$D$22)*(1+Assumptions!$B$17)^MAX(0,X6-1))</f>
        <v/>
      </c>
    </row>
    <row r="14">
      <c r="A14" s="46" t="inlineStr">
        <is>
          <t>General &amp; administrative</t>
        </is>
      </c>
      <c r="B14" s="44">
        <f>IF(B6=0,0,OPEX!$D$23*(1+Assumptions!$B$19)^MAX(0,B6-1))</f>
        <v/>
      </c>
      <c r="C14" s="44">
        <f>IF(C6=0,0,OPEX!$D$23*(1+Assumptions!$B$19)^MAX(0,C6-1))</f>
        <v/>
      </c>
      <c r="D14" s="44">
        <f>IF(D6=0,0,OPEX!$D$23*(1+Assumptions!$B$19)^MAX(0,D6-1))</f>
        <v/>
      </c>
      <c r="E14" s="44">
        <f>IF(E6=0,0,OPEX!$D$23*(1+Assumptions!$B$19)^MAX(0,E6-1))</f>
        <v/>
      </c>
      <c r="F14" s="44">
        <f>IF(F6=0,0,OPEX!$D$23*(1+Assumptions!$B$19)^MAX(0,F6-1))</f>
        <v/>
      </c>
      <c r="G14" s="44">
        <f>IF(G6=0,0,OPEX!$D$23*(1+Assumptions!$B$19)^MAX(0,G6-1))</f>
        <v/>
      </c>
      <c r="H14" s="44">
        <f>IF(H6=0,0,OPEX!$D$23*(1+Assumptions!$B$19)^MAX(0,H6-1))</f>
        <v/>
      </c>
      <c r="I14" s="44">
        <f>IF(I6=0,0,OPEX!$D$23*(1+Assumptions!$B$19)^MAX(0,I6-1))</f>
        <v/>
      </c>
      <c r="J14" s="44">
        <f>IF(J6=0,0,OPEX!$D$23*(1+Assumptions!$B$19)^MAX(0,J6-1))</f>
        <v/>
      </c>
      <c r="K14" s="44">
        <f>IF(K6=0,0,OPEX!$D$23*(1+Assumptions!$B$19)^MAX(0,K6-1))</f>
        <v/>
      </c>
      <c r="L14" s="44">
        <f>IF(L6=0,0,OPEX!$D$23*(1+Assumptions!$B$19)^MAX(0,L6-1))</f>
        <v/>
      </c>
      <c r="M14" s="44">
        <f>IF(M6=0,0,OPEX!$D$23*(1+Assumptions!$B$19)^MAX(0,M6-1))</f>
        <v/>
      </c>
      <c r="N14" s="44">
        <f>IF(N6=0,0,OPEX!$D$23*(1+Assumptions!$B$19)^MAX(0,N6-1))</f>
        <v/>
      </c>
      <c r="O14" s="44">
        <f>IF(O6=0,0,OPEX!$D$23*(1+Assumptions!$B$19)^MAX(0,O6-1))</f>
        <v/>
      </c>
      <c r="P14" s="44">
        <f>IF(P6=0,0,OPEX!$D$23*(1+Assumptions!$B$19)^MAX(0,P6-1))</f>
        <v/>
      </c>
      <c r="Q14" s="44">
        <f>IF(Q6=0,0,OPEX!$D$23*(1+Assumptions!$B$19)^MAX(0,Q6-1))</f>
        <v/>
      </c>
      <c r="R14" s="44">
        <f>IF(R6=0,0,OPEX!$D$23*(1+Assumptions!$B$19)^MAX(0,R6-1))</f>
        <v/>
      </c>
      <c r="S14" s="44">
        <f>IF(S6=0,0,OPEX!$D$23*(1+Assumptions!$B$19)^MAX(0,S6-1))</f>
        <v/>
      </c>
      <c r="T14" s="44">
        <f>IF(T6=0,0,OPEX!$D$23*(1+Assumptions!$B$19)^MAX(0,T6-1))</f>
        <v/>
      </c>
      <c r="U14" s="44">
        <f>IF(U6=0,0,OPEX!$D$23*(1+Assumptions!$B$19)^MAX(0,U6-1))</f>
        <v/>
      </c>
      <c r="V14" s="44">
        <f>IF(V6=0,0,OPEX!$D$23*(1+Assumptions!$B$19)^MAX(0,V6-1))</f>
        <v/>
      </c>
      <c r="W14" s="44">
        <f>IF(W6=0,0,OPEX!$D$23*(1+Assumptions!$B$19)^MAX(0,W6-1))</f>
        <v/>
      </c>
      <c r="X14" s="44">
        <f>IF(X6=0,0,OPEX!$D$23*(1+Assumptions!$B$19)^MAX(0,X6-1))</f>
        <v/>
      </c>
    </row>
    <row r="15">
      <c r="A15" s="46" t="inlineStr">
        <is>
          <t>By-product credits</t>
        </is>
      </c>
      <c r="B15" s="44">
        <f>IF(B6=0,0,OPEX!$D$29*B8/Assumptions!$B$6*(1+Assumptions!$B$15)^MAX(0,B6-1))</f>
        <v/>
      </c>
      <c r="C15" s="44">
        <f>IF(C6=0,0,OPEX!$D$29*C8/Assumptions!$B$6*(1+Assumptions!$B$15)^MAX(0,C6-1))</f>
        <v/>
      </c>
      <c r="D15" s="44">
        <f>IF(D6=0,0,OPEX!$D$29*D8/Assumptions!$B$6*(1+Assumptions!$B$15)^MAX(0,D6-1))</f>
        <v/>
      </c>
      <c r="E15" s="44">
        <f>IF(E6=0,0,OPEX!$D$29*E8/Assumptions!$B$6*(1+Assumptions!$B$15)^MAX(0,E6-1))</f>
        <v/>
      </c>
      <c r="F15" s="44">
        <f>IF(F6=0,0,OPEX!$D$29*F8/Assumptions!$B$6*(1+Assumptions!$B$15)^MAX(0,F6-1))</f>
        <v/>
      </c>
      <c r="G15" s="44">
        <f>IF(G6=0,0,OPEX!$D$29*G8/Assumptions!$B$6*(1+Assumptions!$B$15)^MAX(0,G6-1))</f>
        <v/>
      </c>
      <c r="H15" s="44">
        <f>IF(H6=0,0,OPEX!$D$29*H8/Assumptions!$B$6*(1+Assumptions!$B$15)^MAX(0,H6-1))</f>
        <v/>
      </c>
      <c r="I15" s="44">
        <f>IF(I6=0,0,OPEX!$D$29*I8/Assumptions!$B$6*(1+Assumptions!$B$15)^MAX(0,I6-1))</f>
        <v/>
      </c>
      <c r="J15" s="44">
        <f>IF(J6=0,0,OPEX!$D$29*J8/Assumptions!$B$6*(1+Assumptions!$B$15)^MAX(0,J6-1))</f>
        <v/>
      </c>
      <c r="K15" s="44">
        <f>IF(K6=0,0,OPEX!$D$29*K8/Assumptions!$B$6*(1+Assumptions!$B$15)^MAX(0,K6-1))</f>
        <v/>
      </c>
      <c r="L15" s="44">
        <f>IF(L6=0,0,OPEX!$D$29*L8/Assumptions!$B$6*(1+Assumptions!$B$15)^MAX(0,L6-1))</f>
        <v/>
      </c>
      <c r="M15" s="44">
        <f>IF(M6=0,0,OPEX!$D$29*M8/Assumptions!$B$6*(1+Assumptions!$B$15)^MAX(0,M6-1))</f>
        <v/>
      </c>
      <c r="N15" s="44">
        <f>IF(N6=0,0,OPEX!$D$29*N8/Assumptions!$B$6*(1+Assumptions!$B$15)^MAX(0,N6-1))</f>
        <v/>
      </c>
      <c r="O15" s="44">
        <f>IF(O6=0,0,OPEX!$D$29*O8/Assumptions!$B$6*(1+Assumptions!$B$15)^MAX(0,O6-1))</f>
        <v/>
      </c>
      <c r="P15" s="44">
        <f>IF(P6=0,0,OPEX!$D$29*P8/Assumptions!$B$6*(1+Assumptions!$B$15)^MAX(0,P6-1))</f>
        <v/>
      </c>
      <c r="Q15" s="44">
        <f>IF(Q6=0,0,OPEX!$D$29*Q8/Assumptions!$B$6*(1+Assumptions!$B$15)^MAX(0,Q6-1))</f>
        <v/>
      </c>
      <c r="R15" s="44">
        <f>IF(R6=0,0,OPEX!$D$29*R8/Assumptions!$B$6*(1+Assumptions!$B$15)^MAX(0,R6-1))</f>
        <v/>
      </c>
      <c r="S15" s="44">
        <f>IF(S6=0,0,OPEX!$D$29*S8/Assumptions!$B$6*(1+Assumptions!$B$15)^MAX(0,S6-1))</f>
        <v/>
      </c>
      <c r="T15" s="44">
        <f>IF(T6=0,0,OPEX!$D$29*T8/Assumptions!$B$6*(1+Assumptions!$B$15)^MAX(0,T6-1))</f>
        <v/>
      </c>
      <c r="U15" s="44">
        <f>IF(U6=0,0,OPEX!$D$29*U8/Assumptions!$B$6*(1+Assumptions!$B$15)^MAX(0,U6-1))</f>
        <v/>
      </c>
      <c r="V15" s="44">
        <f>IF(V6=0,0,OPEX!$D$29*V8/Assumptions!$B$6*(1+Assumptions!$B$15)^MAX(0,V6-1))</f>
        <v/>
      </c>
      <c r="W15" s="44">
        <f>IF(W6=0,0,OPEX!$D$29*W8/Assumptions!$B$6*(1+Assumptions!$B$15)^MAX(0,W6-1))</f>
        <v/>
      </c>
      <c r="X15" s="44">
        <f>IF(X6=0,0,OPEX!$D$29*X8/Assumptions!$B$6*(1+Assumptions!$B$15)^MAX(0,X6-1))</f>
        <v/>
      </c>
    </row>
    <row r="16">
      <c r="A16" s="46" t="inlineStr">
        <is>
          <t>Net cost</t>
        </is>
      </c>
      <c r="B16" s="44">
        <f>B11+B12+B13+B14-B15</f>
        <v/>
      </c>
      <c r="C16" s="44">
        <f>C11+C12+C13+C14-C15</f>
        <v/>
      </c>
      <c r="D16" s="44">
        <f>D11+D12+D13+D14-D15</f>
        <v/>
      </c>
      <c r="E16" s="44">
        <f>E11+E12+E13+E14-E15</f>
        <v/>
      </c>
      <c r="F16" s="44">
        <f>F11+F12+F13+F14-F15</f>
        <v/>
      </c>
      <c r="G16" s="44">
        <f>G11+G12+G13+G14-G15</f>
        <v/>
      </c>
      <c r="H16" s="44">
        <f>H11+H12+H13+H14-H15</f>
        <v/>
      </c>
      <c r="I16" s="44">
        <f>I11+I12+I13+I14-I15</f>
        <v/>
      </c>
      <c r="J16" s="44">
        <f>J11+J12+J13+J14-J15</f>
        <v/>
      </c>
      <c r="K16" s="44">
        <f>K11+K12+K13+K14-K15</f>
        <v/>
      </c>
      <c r="L16" s="44">
        <f>L11+L12+L13+L14-L15</f>
        <v/>
      </c>
      <c r="M16" s="44">
        <f>M11+M12+M13+M14-M15</f>
        <v/>
      </c>
      <c r="N16" s="44">
        <f>N11+N12+N13+N14-N15</f>
        <v/>
      </c>
      <c r="O16" s="44">
        <f>O11+O12+O13+O14-O15</f>
        <v/>
      </c>
      <c r="P16" s="44">
        <f>P11+P12+P13+P14-P15</f>
        <v/>
      </c>
      <c r="Q16" s="44">
        <f>Q11+Q12+Q13+Q14-Q15</f>
        <v/>
      </c>
      <c r="R16" s="44">
        <f>R11+R12+R13+R14-R15</f>
        <v/>
      </c>
      <c r="S16" s="44">
        <f>S11+S12+S13+S14-S15</f>
        <v/>
      </c>
      <c r="T16" s="44">
        <f>T11+T12+T13+T14-T15</f>
        <v/>
      </c>
      <c r="U16" s="44">
        <f>U11+U12+U13+U14-U15</f>
        <v/>
      </c>
      <c r="V16" s="44">
        <f>V11+V12+V13+V14-V15</f>
        <v/>
      </c>
      <c r="W16" s="44">
        <f>W11+W12+W13+W14-W15</f>
        <v/>
      </c>
      <c r="X16" s="44">
        <f>X11+X12+X13+X14-X15</f>
        <v/>
      </c>
    </row>
    <row r="17">
      <c r="A17" s="46" t="inlineStr">
        <is>
          <t>Hydrogen (kg)</t>
        </is>
      </c>
      <c r="B17" s="45">
        <f>IF(B6=0,0,OPEX!$B$30*B8/Assumptions!$B$6)</f>
        <v/>
      </c>
      <c r="C17" s="45">
        <f>IF(C6=0,0,OPEX!$B$30*C8/Assumptions!$B$6)</f>
        <v/>
      </c>
      <c r="D17" s="45">
        <f>IF(D6=0,0,OPEX!$B$30*D8/Assumptions!$B$6)</f>
        <v/>
      </c>
      <c r="E17" s="45">
        <f>IF(E6=0,0,OPEX!$B$30*E8/Assumptions!$B$6)</f>
        <v/>
      </c>
      <c r="F17" s="45">
        <f>IF(F6=0,0,OPEX!$B$30*F8/Assumptions!$B$6)</f>
        <v/>
      </c>
      <c r="G17" s="45">
        <f>IF(G6=0,0,OPEX!$B$30*G8/Assumptions!$B$6)</f>
        <v/>
      </c>
      <c r="H17" s="45">
        <f>IF(H6=0,0,OPEX!$B$30*H8/Assumptions!$B$6)</f>
        <v/>
      </c>
      <c r="I17" s="45">
        <f>IF(I6=0,0,OPEX!$B$30*I8/Assumptions!$B$6)</f>
        <v/>
      </c>
      <c r="J17" s="45">
        <f>IF(J6=0,0,OPEX!$B$30*J8/Assumptions!$B$6)</f>
        <v/>
      </c>
      <c r="K17" s="45">
        <f>IF(K6=0,0,OPEX!$B$30*K8/Assumptions!$B$6)</f>
        <v/>
      </c>
      <c r="L17" s="45">
        <f>IF(L6=0,0,OPEX!$B$30*L8/Assumptions!$B$6)</f>
        <v/>
      </c>
      <c r="M17" s="45">
        <f>IF(M6=0,0,OPEX!$B$30*M8/Assumptions!$B$6)</f>
        <v/>
      </c>
      <c r="N17" s="45">
        <f>IF(N6=0,0,OPEX!$B$30*N8/Assumptions!$B$6)</f>
        <v/>
      </c>
      <c r="O17" s="45">
        <f>IF(O6=0,0,OPEX!$B$30*O8/Assumptions!$B$6)</f>
        <v/>
      </c>
      <c r="P17" s="45">
        <f>IF(P6=0,0,OPEX!$B$30*P8/Assumptions!$B$6)</f>
        <v/>
      </c>
      <c r="Q17" s="45">
        <f>IF(Q6=0,0,OPEX!$B$30*Q8/Assumptions!$B$6)</f>
        <v/>
      </c>
      <c r="R17" s="45">
        <f>IF(R6=0,0,OPEX!$B$30*R8/Assumptions!$B$6)</f>
        <v/>
      </c>
      <c r="S17" s="45">
        <f>IF(S6=0,0,OPEX!$B$30*S8/Assumptions!$B$6)</f>
        <v/>
      </c>
      <c r="T17" s="45">
        <f>IF(T6=0,0,OPEX!$B$30*T8/Assumptions!$B$6)</f>
        <v/>
      </c>
      <c r="U17" s="45">
        <f>IF(U6=0,0,OPEX!$B$30*U8/Assumptions!$B$6)</f>
        <v/>
      </c>
      <c r="V17" s="45">
        <f>IF(V6=0,0,OPEX!$B$30*V8/Assumptions!$B$6)</f>
        <v/>
      </c>
      <c r="W17" s="45">
        <f>IF(W6=0,0,OPEX!$B$30*W8/Assumptions!$B$6)</f>
        <v/>
      </c>
      <c r="X17" s="45">
        <f>IF(X6=0,0,OPEX!$B$30*X8/Assumptions!$B$6)</f>
        <v/>
      </c>
    </row>
    <row r="18">
      <c r="A18" s="46" t="inlineStr">
        <is>
          <t>Hydrogen x product escalation</t>
        </is>
      </c>
      <c r="B18" s="45">
        <f>B17*(1+Assumptions!$B$15)^MAX(0,B6-1)</f>
        <v/>
      </c>
      <c r="C18" s="45">
        <f>C17*(1+Assumptions!$B$15)^MAX(0,C6-1)</f>
        <v/>
      </c>
      <c r="D18" s="45">
        <f>D17*(1+Assumptions!$B$15)^MAX(0,D6-1)</f>
        <v/>
      </c>
      <c r="E18" s="45">
        <f>E17*(1+Assumptions!$B$15)^MAX(0,E6-1)</f>
        <v/>
      </c>
      <c r="F18" s="45">
        <f>F17*(1+Assumptions!$B$15)^MAX(0,F6-1)</f>
        <v/>
      </c>
      <c r="G18" s="45">
        <f>G17*(1+Assumptions!$B$15)^MAX(0,G6-1)</f>
        <v/>
      </c>
      <c r="H18" s="45">
        <f>H17*(1+Assumptions!$B$15)^MAX(0,H6-1)</f>
        <v/>
      </c>
      <c r="I18" s="45">
        <f>I17*(1+Assumptions!$B$15)^MAX(0,I6-1)</f>
        <v/>
      </c>
      <c r="J18" s="45">
        <f>J17*(1+Assumptions!$B$15)^MAX(0,J6-1)</f>
        <v/>
      </c>
      <c r="K18" s="45">
        <f>K17*(1+Assumptions!$B$15)^MAX(0,K6-1)</f>
        <v/>
      </c>
      <c r="L18" s="45">
        <f>L17*(1+Assumptions!$B$15)^MAX(0,L6-1)</f>
        <v/>
      </c>
      <c r="M18" s="45">
        <f>M17*(1+Assumptions!$B$15)^MAX(0,M6-1)</f>
        <v/>
      </c>
      <c r="N18" s="45">
        <f>N17*(1+Assumptions!$B$15)^MAX(0,N6-1)</f>
        <v/>
      </c>
      <c r="O18" s="45">
        <f>O17*(1+Assumptions!$B$15)^MAX(0,O6-1)</f>
        <v/>
      </c>
      <c r="P18" s="45">
        <f>P17*(1+Assumptions!$B$15)^MAX(0,P6-1)</f>
        <v/>
      </c>
      <c r="Q18" s="45">
        <f>Q17*(1+Assumptions!$B$15)^MAX(0,Q6-1)</f>
        <v/>
      </c>
      <c r="R18" s="45">
        <f>R17*(1+Assumptions!$B$15)^MAX(0,R6-1)</f>
        <v/>
      </c>
      <c r="S18" s="45">
        <f>S17*(1+Assumptions!$B$15)^MAX(0,S6-1)</f>
        <v/>
      </c>
      <c r="T18" s="45">
        <f>T17*(1+Assumptions!$B$15)^MAX(0,T6-1)</f>
        <v/>
      </c>
      <c r="U18" s="45">
        <f>U17*(1+Assumptions!$B$15)^MAX(0,U6-1)</f>
        <v/>
      </c>
      <c r="V18" s="45">
        <f>V17*(1+Assumptions!$B$15)^MAX(0,V6-1)</f>
        <v/>
      </c>
      <c r="W18" s="45">
        <f>W17*(1+Assumptions!$B$15)^MAX(0,W6-1)</f>
        <v/>
      </c>
      <c r="X18" s="45">
        <f>X17*(1+Assumptions!$B$15)^MAX(0,X6-1)</f>
        <v/>
      </c>
    </row>
    <row r="19">
      <c r="A19" s="46" t="inlineStr">
        <is>
          <t>PV net cost</t>
        </is>
      </c>
      <c r="B19" s="44">
        <f>B16*B9</f>
        <v/>
      </c>
      <c r="C19" s="44">
        <f>C16*C9</f>
        <v/>
      </c>
      <c r="D19" s="44">
        <f>D16*D9</f>
        <v/>
      </c>
      <c r="E19" s="44">
        <f>E16*E9</f>
        <v/>
      </c>
      <c r="F19" s="44">
        <f>F16*F9</f>
        <v/>
      </c>
      <c r="G19" s="44">
        <f>G16*G9</f>
        <v/>
      </c>
      <c r="H19" s="44">
        <f>H16*H9</f>
        <v/>
      </c>
      <c r="I19" s="44">
        <f>I16*I9</f>
        <v/>
      </c>
      <c r="J19" s="44">
        <f>J16*J9</f>
        <v/>
      </c>
      <c r="K19" s="44">
        <f>K16*K9</f>
        <v/>
      </c>
      <c r="L19" s="44">
        <f>L16*L9</f>
        <v/>
      </c>
      <c r="M19" s="44">
        <f>M16*M9</f>
        <v/>
      </c>
      <c r="N19" s="44">
        <f>N16*N9</f>
        <v/>
      </c>
      <c r="O19" s="44">
        <f>O16*O9</f>
        <v/>
      </c>
      <c r="P19" s="44">
        <f>P16*P9</f>
        <v/>
      </c>
      <c r="Q19" s="44">
        <f>Q16*Q9</f>
        <v/>
      </c>
      <c r="R19" s="44">
        <f>R16*R9</f>
        <v/>
      </c>
      <c r="S19" s="44">
        <f>S16*S9</f>
        <v/>
      </c>
      <c r="T19" s="44">
        <f>T16*T9</f>
        <v/>
      </c>
      <c r="U19" s="44">
        <f>U16*U9</f>
        <v/>
      </c>
      <c r="V19" s="44">
        <f>V16*V9</f>
        <v/>
      </c>
      <c r="W19" s="44">
        <f>W16*W9</f>
        <v/>
      </c>
      <c r="X19" s="44">
        <f>X16*X9</f>
        <v/>
      </c>
    </row>
    <row r="20">
      <c r="A20" s="46" t="inlineStr">
        <is>
          <t>PV capital</t>
        </is>
      </c>
      <c r="B20" s="44">
        <f>B10*B9</f>
        <v/>
      </c>
      <c r="C20" s="44">
        <f>C10*C9</f>
        <v/>
      </c>
      <c r="D20" s="44">
        <f>D10*D9</f>
        <v/>
      </c>
      <c r="E20" s="44">
        <f>E10*E9</f>
        <v/>
      </c>
      <c r="F20" s="44">
        <f>F10*F9</f>
        <v/>
      </c>
      <c r="G20" s="44">
        <f>G10*G9</f>
        <v/>
      </c>
      <c r="H20" s="44">
        <f>H10*H9</f>
        <v/>
      </c>
      <c r="I20" s="44">
        <f>I10*I9</f>
        <v/>
      </c>
      <c r="J20" s="44">
        <f>J10*J9</f>
        <v/>
      </c>
      <c r="K20" s="44">
        <f>K10*K9</f>
        <v/>
      </c>
      <c r="L20" s="44">
        <f>L10*L9</f>
        <v/>
      </c>
      <c r="M20" s="44">
        <f>M10*M9</f>
        <v/>
      </c>
      <c r="N20" s="44">
        <f>N10*N9</f>
        <v/>
      </c>
      <c r="O20" s="44">
        <f>O10*O9</f>
        <v/>
      </c>
      <c r="P20" s="44">
        <f>P10*P9</f>
        <v/>
      </c>
      <c r="Q20" s="44">
        <f>Q10*Q9</f>
        <v/>
      </c>
      <c r="R20" s="44">
        <f>R10*R9</f>
        <v/>
      </c>
      <c r="S20" s="44">
        <f>S10*S9</f>
        <v/>
      </c>
      <c r="T20" s="44">
        <f>T10*T9</f>
        <v/>
      </c>
      <c r="U20" s="44">
        <f>U10*U9</f>
        <v/>
      </c>
      <c r="V20" s="44">
        <f>V10*V9</f>
        <v/>
      </c>
      <c r="W20" s="44">
        <f>W10*W9</f>
        <v/>
      </c>
      <c r="X20" s="44">
        <f>X10*X9</f>
        <v/>
      </c>
    </row>
    <row r="21">
      <c r="A21" s="46" t="inlineStr">
        <is>
          <t>PV H2 x escalation</t>
        </is>
      </c>
      <c r="B21" s="45">
        <f>B18*B9</f>
        <v/>
      </c>
      <c r="C21" s="45">
        <f>C18*C9</f>
        <v/>
      </c>
      <c r="D21" s="45">
        <f>D18*D9</f>
        <v/>
      </c>
      <c r="E21" s="45">
        <f>E18*E9</f>
        <v/>
      </c>
      <c r="F21" s="45">
        <f>F18*F9</f>
        <v/>
      </c>
      <c r="G21" s="45">
        <f>G18*G9</f>
        <v/>
      </c>
      <c r="H21" s="45">
        <f>H18*H9</f>
        <v/>
      </c>
      <c r="I21" s="45">
        <f>I18*I9</f>
        <v/>
      </c>
      <c r="J21" s="45">
        <f>J18*J9</f>
        <v/>
      </c>
      <c r="K21" s="45">
        <f>K18*K9</f>
        <v/>
      </c>
      <c r="L21" s="45">
        <f>L18*L9</f>
        <v/>
      </c>
      <c r="M21" s="45">
        <f>M18*M9</f>
        <v/>
      </c>
      <c r="N21" s="45">
        <f>N18*N9</f>
        <v/>
      </c>
      <c r="O21" s="45">
        <f>O18*O9</f>
        <v/>
      </c>
      <c r="P21" s="45">
        <f>P18*P9</f>
        <v/>
      </c>
      <c r="Q21" s="45">
        <f>Q18*Q9</f>
        <v/>
      </c>
      <c r="R21" s="45">
        <f>R18*R9</f>
        <v/>
      </c>
      <c r="S21" s="45">
        <f>S18*S9</f>
        <v/>
      </c>
      <c r="T21" s="45">
        <f>T18*T9</f>
        <v/>
      </c>
      <c r="U21" s="45">
        <f>U18*U9</f>
        <v/>
      </c>
      <c r="V21" s="45">
        <f>V18*V9</f>
        <v/>
      </c>
      <c r="W21" s="45">
        <f>W18*W9</f>
        <v/>
      </c>
      <c r="X21" s="45">
        <f>X18*X9</f>
        <v/>
      </c>
    </row>
    <row r="23">
      <c r="A23" s="7" t="inlineStr">
        <is>
          <t>Present value of capital</t>
        </is>
      </c>
      <c r="B23" s="44">
        <f>SUM(B20:X20)</f>
        <v/>
      </c>
    </row>
    <row r="24">
      <c r="A24" s="7" t="inlineStr">
        <is>
          <t>Present value of net operating cost</t>
        </is>
      </c>
      <c r="B24" s="44">
        <f>SUM(B19:X19)</f>
        <v/>
      </c>
    </row>
    <row r="25">
      <c r="A25" s="7" t="inlineStr">
        <is>
          <t>Present value of H2 x escalation (kg)</t>
        </is>
      </c>
      <c r="B25" s="45">
        <f>SUM(B21:X21)</f>
        <v/>
      </c>
    </row>
    <row r="26">
      <c r="A26" s="11" t="inlineStr">
        <is>
          <t>LCOH, first operating year (USD/kg H2), escalating at product rate</t>
        </is>
      </c>
      <c r="B26" s="52">
        <f>(B23+B24)/B25</f>
        <v/>
      </c>
    </row>
    <row r="27">
      <c r="A27" s="7" t="inlineStr">
        <is>
          <t>Capital share of LCOH</t>
        </is>
      </c>
      <c r="B27" s="18">
        <f>B23/(B23+B24)</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6" customWidth="1" min="1" max="1"/>
    <col width="16" customWidth="1" min="2" max="2"/>
    <col width="14" customWidth="1" min="3" max="3"/>
    <col width="70" customWidth="1" min="4" max="4"/>
  </cols>
  <sheetData>
    <row r="1">
      <c r="A1" s="21" t="inlineStr">
        <is>
          <t>Life-cycle energy and GHG (gate-to-gate, steady-state year)</t>
        </is>
      </c>
    </row>
    <row r="2">
      <c r="A2" s="5" t="inlineStr">
        <is>
          <t>NER = renewable energy out / fossil energy in, as defined in [1] section 4.5. Biogenic CO2 is reported but not counted.</t>
        </is>
      </c>
    </row>
    <row r="4">
      <c r="A4" s="6" t="inlineStr">
        <is>
          <t>Item</t>
        </is>
      </c>
      <c r="B4" s="6" t="inlineStr">
        <is>
          <t>Value</t>
        </is>
      </c>
      <c r="C4" s="6" t="inlineStr">
        <is>
          <t>Unit</t>
        </is>
      </c>
      <c r="D4" s="6" t="inlineStr">
        <is>
          <t>Basis</t>
        </is>
      </c>
    </row>
    <row r="5">
      <c r="A5" s="11" t="inlineStr">
        <is>
          <t>Energy</t>
        </is>
      </c>
    </row>
    <row r="6">
      <c r="A6" s="7" t="inlineStr">
        <is>
          <t>Hydrogen produced</t>
        </is>
      </c>
      <c r="B6" s="53">
        <f>OPEX!$B$30</f>
        <v/>
      </c>
      <c r="C6" s="7" t="inlineStr">
        <is>
          <t>kg/yr</t>
        </is>
      </c>
      <c r="D6" s="9" t="inlineStr">
        <is>
          <t>From OPEX</t>
        </is>
      </c>
    </row>
    <row r="7">
      <c r="A7" s="7" t="inlineStr">
        <is>
          <t>Energy output: hydrogen (LHV)</t>
        </is>
      </c>
      <c r="B7" s="45">
        <f>B6*Assumptions!$B$51/1000</f>
        <v/>
      </c>
      <c r="C7" s="7" t="inlineStr">
        <is>
          <t>GJ/yr</t>
        </is>
      </c>
      <c r="D7" s="9" t="inlineStr">
        <is>
          <t>H2 x LHV</t>
        </is>
      </c>
    </row>
    <row r="8">
      <c r="A8" s="7" t="inlineStr">
        <is>
          <t>Electricity used</t>
        </is>
      </c>
      <c r="B8" s="53">
        <f>OPEX!$B$6</f>
        <v/>
      </c>
      <c r="C8" s="7" t="inlineStr">
        <is>
          <t>kWh/yr</t>
        </is>
      </c>
      <c r="D8" s="9" t="inlineStr">
        <is>
          <t>From OPEX</t>
        </is>
      </c>
    </row>
    <row r="9">
      <c r="A9" s="7" t="inlineStr">
        <is>
          <t>Fossil primary energy for electricity</t>
        </is>
      </c>
      <c r="B9" s="45">
        <f>B8*0.0036*Assumptions!$B$71</f>
        <v/>
      </c>
      <c r="C9" s="7" t="inlineStr">
        <is>
          <t>GJ/yr</t>
        </is>
      </c>
      <c r="D9" s="9" t="inlineStr">
        <is>
          <t>kWh x 0.0036 x primary energy factor</t>
        </is>
      </c>
    </row>
    <row r="10">
      <c r="A10" s="7" t="inlineStr">
        <is>
          <t>Natural gas used (all heating)</t>
        </is>
      </c>
      <c r="B10" s="53">
        <f>OPEX!$B$7+OPEX!$B$8</f>
        <v/>
      </c>
      <c r="C10" s="7" t="inlineStr">
        <is>
          <t>GJ/yr</t>
        </is>
      </c>
      <c r="D10" s="9" t="inlineStr">
        <is>
          <t>From OPEX</t>
        </is>
      </c>
    </row>
    <row r="11">
      <c r="A11" s="11" t="inlineStr">
        <is>
          <t>Total fossil energy input</t>
        </is>
      </c>
      <c r="B11" s="54">
        <f>B9+B10</f>
        <v/>
      </c>
      <c r="C11" s="7" t="inlineStr">
        <is>
          <t>GJ/yr</t>
        </is>
      </c>
      <c r="D11" s="9" t="inlineStr"/>
    </row>
    <row r="12">
      <c r="A12" s="11" t="inlineStr">
        <is>
          <t>Net energy ratio (NER)</t>
        </is>
      </c>
      <c r="B12" s="55">
        <f>B7/B11</f>
        <v/>
      </c>
      <c r="C12" s="7" t="inlineStr">
        <is>
          <t>-</t>
        </is>
      </c>
      <c r="D12" s="9" t="inlineStr">
        <is>
          <t>&gt; 1 means more renewable energy out than fossil energy in</t>
        </is>
      </c>
    </row>
    <row r="14">
      <c r="A14" s="11" t="inlineStr">
        <is>
          <t>GHG emissions (kg CO2e/yr)</t>
        </is>
      </c>
    </row>
    <row r="15">
      <c r="A15" s="7" t="inlineStr">
        <is>
          <t>Electricity</t>
        </is>
      </c>
      <c r="B15" s="45">
        <f>B8*Assumptions!$B$70</f>
        <v/>
      </c>
      <c r="C15" s="7" t="inlineStr">
        <is>
          <t>kg CO2e/yr</t>
        </is>
      </c>
      <c r="D15" s="9" t="inlineStr">
        <is>
          <t>kWh x grid factor</t>
        </is>
      </c>
    </row>
    <row r="16">
      <c r="A16" s="7" t="inlineStr">
        <is>
          <t>Natural gas (combustion + upstream)</t>
        </is>
      </c>
      <c r="B16" s="45">
        <f>B10*(Assumptions!$B$72+Assumptions!$B$73)</f>
        <v/>
      </c>
      <c r="C16" s="7" t="inlineStr">
        <is>
          <t>kg CO2e/yr</t>
        </is>
      </c>
      <c r="D16" s="9" t="inlineStr">
        <is>
          <t>GJ x (56.1 + upstream)</t>
        </is>
      </c>
    </row>
    <row r="17">
      <c r="A17" s="7" t="inlineStr">
        <is>
          <t>Carbon stored in solid product (as CO2)</t>
        </is>
      </c>
      <c r="B17" s="45">
        <f>OPEX!$B$27*1000*44/12</f>
        <v/>
      </c>
      <c r="C17" s="7" t="inlineStr">
        <is>
          <t>kg CO2/yr</t>
        </is>
      </c>
      <c r="D17" s="9" t="inlineStr">
        <is>
          <t>Carbon t/yr x 1000 x 44/12 (biogenic carbon)</t>
        </is>
      </c>
    </row>
    <row r="18">
      <c r="A18" s="7" t="inlineStr">
        <is>
          <t>Credit for stored carbon (applied if switch = 1)</t>
        </is>
      </c>
      <c r="B18" s="45">
        <f>-B17*Assumptions!$B$74</f>
        <v/>
      </c>
      <c r="C18" s="7" t="inlineStr">
        <is>
          <t>kg CO2e/yr</t>
        </is>
      </c>
      <c r="D18" s="9" t="inlineStr">
        <is>
          <t>Switch on Assumptions</t>
        </is>
      </c>
    </row>
    <row r="19">
      <c r="A19" s="11" t="inlineStr">
        <is>
          <t>Net GHG</t>
        </is>
      </c>
      <c r="B19" s="54">
        <f>B15+B16+B18</f>
        <v/>
      </c>
      <c r="C19" s="7" t="inlineStr">
        <is>
          <t>kg CO2e/yr</t>
        </is>
      </c>
      <c r="D19" s="9" t="inlineStr"/>
    </row>
    <row r="20">
      <c r="A20" s="11" t="inlineStr">
        <is>
          <t>GHG intensity</t>
        </is>
      </c>
      <c r="B20" s="56">
        <f>B19/B6</f>
        <v/>
      </c>
      <c r="C20" s="7" t="inlineStr">
        <is>
          <t>kg CO2e/kg H2</t>
        </is>
      </c>
      <c r="D20" s="9" t="inlineStr"/>
    </row>
    <row r="21">
      <c r="A21" s="7" t="inlineStr">
        <is>
          <t>GHG intensity without carbon credit</t>
        </is>
      </c>
      <c r="B21" s="57">
        <f>(B15+B16)/B6</f>
        <v/>
      </c>
      <c r="C21" s="7" t="inlineStr">
        <is>
          <t>kg CO2e/kg H2</t>
        </is>
      </c>
      <c r="D21" s="9" t="inlineStr"/>
    </row>
    <row r="22">
      <c r="A22" s="7" t="inlineStr">
        <is>
          <t>GHG intensity with carbon credit</t>
        </is>
      </c>
      <c r="B22" s="57">
        <f>(B15+B16-B17)/B6</f>
        <v/>
      </c>
      <c r="C22" s="7" t="inlineStr">
        <is>
          <t>kg CO2e/kg H2</t>
        </is>
      </c>
      <c r="D22" s="9" t="inlineStr">
        <is>
          <t>If the carbon is permanently stored</t>
        </is>
      </c>
    </row>
    <row r="24">
      <c r="A24" s="11" t="inlineStr">
        <is>
          <t>Biogenic flows (information only, not counted)</t>
        </is>
      </c>
    </row>
    <row r="25">
      <c r="A25" s="7" t="inlineStr">
        <is>
          <t>CO2 in membrane permeate (vented or captured)</t>
        </is>
      </c>
      <c r="B25" s="45">
        <f>Process_Data!$B$15*Process_Data!$B$16*44.01*OPEX!$B$4/1000</f>
        <v/>
      </c>
      <c r="C25" s="7" t="inlineStr">
        <is>
          <t>t/yr</t>
        </is>
      </c>
      <c r="D25" s="9" t="inlineStr">
        <is>
          <t>Biogenic CO2 from the biogas</t>
        </is>
      </c>
    </row>
    <row r="26">
      <c r="A26" s="7" t="inlineStr">
        <is>
          <t>CH4 slip in permeate</t>
        </is>
      </c>
      <c r="B26" s="45">
        <f>Process_Data!$B$15*Process_Data!$B$17*16.043*OPEX!$B$4/1000</f>
        <v/>
      </c>
      <c r="C26" s="7" t="inlineStr">
        <is>
          <t>t/yr</t>
        </is>
      </c>
      <c r="D26" s="9" t="inlineStr">
        <is>
          <t>Must be flared or used; CH4 is a strong GHG if vented</t>
        </is>
      </c>
    </row>
    <row r="27">
      <c r="A27" s="7" t="inlineStr">
        <is>
          <t>CO in pyrolysis product</t>
        </is>
      </c>
      <c r="B27" s="45">
        <f>Process_Data!$B$22*28.01*OPEX!$B$4/1000</f>
        <v/>
      </c>
      <c r="C27" s="7" t="inlineStr">
        <is>
          <t>t/yr</t>
        </is>
      </c>
      <c r="D27" s="9" t="inlineStr">
        <is>
          <t>Biogenic; becomes CO2 when burned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2026-10-08T21:08:41Z</dcterms:created>
  <dcterms:modified xsi:type="dcterms:W3CDTF">2026-10-08T21:08:41Z</dcterms:modified>
</cp:coreProperties>
</file>